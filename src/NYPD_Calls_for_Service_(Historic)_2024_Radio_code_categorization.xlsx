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45be6cbc7a08aa/Documents/20 NYU/05 Course Registration/Fall 2025/01 Information Visualization/Project/"/>
    </mc:Choice>
  </mc:AlternateContent>
  <xr:revisionPtr revIDLastSave="125" documentId="8_{70362B34-0927-42DA-B44C-C4EAF07E1178}" xr6:coauthVersionLast="47" xr6:coauthVersionMax="47" xr10:uidLastSave="{3D6C59DA-9D2F-4147-9D40-45FB6B53543A}"/>
  <bookViews>
    <workbookView xWindow="-110" yWindow="-110" windowWidth="25820" windowHeight="13900" firstSheet="2" activeTab="2" xr2:uid="{00000000-000D-0000-FFFF-FFFF00000000}"/>
  </bookViews>
  <sheets>
    <sheet name="Data" sheetId="1" r:id="rId1"/>
    <sheet name="Pivot" sheetId="2" r:id="rId2"/>
    <sheet name="Radio Code List" sheetId="5" r:id="rId3"/>
  </sheets>
  <definedNames>
    <definedName name="_xlnm._FilterDatabase" localSheetId="0" hidden="1">Data!$A$1:$D$489</definedName>
    <definedName name="_xlnm._FilterDatabase" localSheetId="1" hidden="1">Pivot!$A$2:$D$65</definedName>
  </definedNames>
  <calcPr calcId="191028"/>
  <pivotCaches>
    <pivotCache cacheId="2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5" l="1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G3" i="5"/>
  <c r="F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3" i="5"/>
</calcChain>
</file>

<file path=xl/sharedStrings.xml><?xml version="1.0" encoding="utf-8"?>
<sst xmlns="http://schemas.openxmlformats.org/spreadsheetml/2006/main" count="1894" uniqueCount="1015">
  <si>
    <t>RADIO_CODE</t>
  </si>
  <si>
    <t>TYP_DESC</t>
  </si>
  <si>
    <t>Count</t>
  </si>
  <si>
    <t>Category</t>
  </si>
  <si>
    <t>012</t>
  </si>
  <si>
    <t>10-53 NO RMP REQUIRED</t>
  </si>
  <si>
    <t>002</t>
  </si>
  <si>
    <t>311 REFERRAL</t>
  </si>
  <si>
    <t>11A1</t>
  </si>
  <si>
    <t>ALARMS: AUDIBLE/INSIDE</t>
  </si>
  <si>
    <t>ALARMS</t>
  </si>
  <si>
    <t>11A2</t>
  </si>
  <si>
    <t>ALARMS: AUDIBLE/OUTSIDE</t>
  </si>
  <si>
    <t>11A5</t>
  </si>
  <si>
    <t>ALARMS: AUDIBLE/SCHOOL</t>
  </si>
  <si>
    <t>11A9</t>
  </si>
  <si>
    <t>ALARMS: AUDIBLE/TRANSIT</t>
  </si>
  <si>
    <t>11B4</t>
  </si>
  <si>
    <t>ALARMS: BANK/BURGLARY</t>
  </si>
  <si>
    <t>11B3</t>
  </si>
  <si>
    <t>ALARMS: BANK/HOLDUP</t>
  </si>
  <si>
    <t>11B9</t>
  </si>
  <si>
    <t>ALARMS: BANK/TRANSIT</t>
  </si>
  <si>
    <t>11C4</t>
  </si>
  <si>
    <t>ALARMS: COMMERCIAL/BURGLARY</t>
  </si>
  <si>
    <t>11C3</t>
  </si>
  <si>
    <t>ALARMS: COMMERCIAL/HOLDUP</t>
  </si>
  <si>
    <t>11C8</t>
  </si>
  <si>
    <t>ALARMS: COMMERCIAL/LTD ACC HWY</t>
  </si>
  <si>
    <t>11Q4</t>
  </si>
  <si>
    <t>ALARMS: OTHER/BURGLARY</t>
  </si>
  <si>
    <t>11Q3</t>
  </si>
  <si>
    <t>ALARMS: OTHER/HOLDUP</t>
  </si>
  <si>
    <t>11Q9</t>
  </si>
  <si>
    <t>ALARMS: OTHER/TRANSIT</t>
  </si>
  <si>
    <t>11R3</t>
  </si>
  <si>
    <t>ALARMS: RESIDENTIAL/ HOLDUP</t>
  </si>
  <si>
    <t>11R4</t>
  </si>
  <si>
    <t>ALARMS: RESIDENTIAL/BURGLARY</t>
  </si>
  <si>
    <t>75A</t>
  </si>
  <si>
    <t>ALL OUT DIRECTED</t>
  </si>
  <si>
    <t>54B1</t>
  </si>
  <si>
    <t>AMBULANCE CASE: BURN SERIOUS/INSIDE</t>
  </si>
  <si>
    <t>AMBULANCE CASE</t>
  </si>
  <si>
    <t>54B2</t>
  </si>
  <si>
    <t>AMBULANCE CASE: BURN SERIOUS/OUTSIDE</t>
  </si>
  <si>
    <t>54B5</t>
  </si>
  <si>
    <t>AMBULANCE CASE: BURN SERIOUS/SCHOOL</t>
  </si>
  <si>
    <t>54B9</t>
  </si>
  <si>
    <t>AMBULANCE CASE: BURN SERIOUS/TRANSIT</t>
  </si>
  <si>
    <t>54C3</t>
  </si>
  <si>
    <t>AMBULANCE CASE: CARDIAC/CPR GIVEN</t>
  </si>
  <si>
    <t>54C1</t>
  </si>
  <si>
    <t>AMBULANCE CASE: CARDIAC/INSIDE</t>
  </si>
  <si>
    <t>54C8</t>
  </si>
  <si>
    <t>AMBULANCE CASE: CARDIAC/LTD ACC HWY</t>
  </si>
  <si>
    <t>54C2</t>
  </si>
  <si>
    <t>AMBULANCE CASE: CARDIAC/OUTSIDE</t>
  </si>
  <si>
    <t>54C5</t>
  </si>
  <si>
    <t>AMBULANCE CASE: CARDIAC/SCHOOL</t>
  </si>
  <si>
    <t>54C9</t>
  </si>
  <si>
    <t>AMBULANCE CASE: CARDIAC/TRANSIT</t>
  </si>
  <si>
    <t>54E1</t>
  </si>
  <si>
    <t>AMBULANCE CASE: EDP/INSIDE</t>
  </si>
  <si>
    <t>54E8</t>
  </si>
  <si>
    <t>AMBULANCE CASE: EDP/LTD ACC HWY</t>
  </si>
  <si>
    <t>54E2</t>
  </si>
  <si>
    <t>AMBULANCE CASE: EDP/OUTSIDE</t>
  </si>
  <si>
    <t>54E5</t>
  </si>
  <si>
    <t>AMBULANCE CASE: EDP/SCHOOL</t>
  </si>
  <si>
    <t>54E9</t>
  </si>
  <si>
    <t>AMBULANCE CASE: EDP/TRANSIT</t>
  </si>
  <si>
    <t>54H1</t>
  </si>
  <si>
    <t>AMBULANCE CASE: HEAVY BLEEDING/INSIDE</t>
  </si>
  <si>
    <t>54H8</t>
  </si>
  <si>
    <t>AMBULANCE CASE: HEAVY BLEEDING/LTD ACC HWY</t>
  </si>
  <si>
    <t>54H2</t>
  </si>
  <si>
    <t>AMBULANCE CASE: HEAVY BLEEDING/OUTSIDE</t>
  </si>
  <si>
    <t>54H5</t>
  </si>
  <si>
    <t>AMBULANCE CASE: HEAVY BLEEDING/SCHOOL</t>
  </si>
  <si>
    <t>54H9</t>
  </si>
  <si>
    <t>AMBULANCE CASE: HEAVY BLEEDING/TRANSIT</t>
  </si>
  <si>
    <t>54I1</t>
  </si>
  <si>
    <t>AMBULANCE CASE: INJURY/INSIDE</t>
  </si>
  <si>
    <t>54I8</t>
  </si>
  <si>
    <t>AMBULANCE CASE: INJURY/LTD ACC HWY</t>
  </si>
  <si>
    <t>54I2</t>
  </si>
  <si>
    <t>AMBULANCE CASE: INJURY/OUTSIDE</t>
  </si>
  <si>
    <t>54I5</t>
  </si>
  <si>
    <t>AMBULANCE CASE: INJURY/SCHOOL</t>
  </si>
  <si>
    <t>54I9</t>
  </si>
  <si>
    <t>AMBULANCE CASE: INJURY/TRANSIT</t>
  </si>
  <si>
    <t>54Q1</t>
  </si>
  <si>
    <t>AMBULANCE CASE: OTHER/INSIDE</t>
  </si>
  <si>
    <t>54Q8</t>
  </si>
  <si>
    <t>AMBULANCE CASE: OTHER/LTD ACC HWY</t>
  </si>
  <si>
    <t>54Q2</t>
  </si>
  <si>
    <t>AMBULANCE CASE: OTHER/OUTSIDE</t>
  </si>
  <si>
    <t>54Q5</t>
  </si>
  <si>
    <t>AMBULANCE CASE: OTHER/SCHOOL</t>
  </si>
  <si>
    <t>54Q9</t>
  </si>
  <si>
    <t>AMBULANCE CASE: OTHER/TRANSIT</t>
  </si>
  <si>
    <t>54R1</t>
  </si>
  <si>
    <t>AMBULANCE CASE: RESCUE/INSIDE</t>
  </si>
  <si>
    <t>54R8</t>
  </si>
  <si>
    <t>AMBULANCE CASE: RESCUE/LTD ACC HWY</t>
  </si>
  <si>
    <t>54R2</t>
  </si>
  <si>
    <t>AMBULANCE CASE: RESCUE/OUTSIDE</t>
  </si>
  <si>
    <t>54R5</t>
  </si>
  <si>
    <t>AMBULANCE CASE: RESCUE/SCHOOL</t>
  </si>
  <si>
    <t>54R9</t>
  </si>
  <si>
    <t>AMBULANCE CASE: RESCUE/TRANSIT</t>
  </si>
  <si>
    <t>55</t>
  </si>
  <si>
    <t>AMBULANCE CASE: RMP NOT REQ</t>
  </si>
  <si>
    <t>54S1</t>
  </si>
  <si>
    <t>AMBULANCE CASE: SERIOUS/INSIDE</t>
  </si>
  <si>
    <t>54S8</t>
  </si>
  <si>
    <t>AMBULANCE CASE: SERIOUS/LTD ACC HWY</t>
  </si>
  <si>
    <t>54S2</t>
  </si>
  <si>
    <t>AMBULANCE CASE: SERIOUS/OUTSIDE</t>
  </si>
  <si>
    <t>54S5</t>
  </si>
  <si>
    <t>AMBULANCE CASE: SERIOUS/SCHOOL</t>
  </si>
  <si>
    <t>54S9</t>
  </si>
  <si>
    <t>AMBULANCE CASE: SERIOUS/TRANSIT</t>
  </si>
  <si>
    <t>54L1</t>
  </si>
  <si>
    <t>AMBULANCE CASE: SEVERED LIMB/INSIDE</t>
  </si>
  <si>
    <t>54L2</t>
  </si>
  <si>
    <t>AMBULANCE CASE: SEVERED LIMB/OUTSIDE</t>
  </si>
  <si>
    <t>54L5</t>
  </si>
  <si>
    <t>AMBULANCE CASE: SEVERED LIMB/SCHOOL</t>
  </si>
  <si>
    <t>54U1</t>
  </si>
  <si>
    <t>AMBULANCE CASE: UNCONSCIOUS/INSIDE</t>
  </si>
  <si>
    <t>54U8</t>
  </si>
  <si>
    <t>AMBULANCE CASE: UNCONSCIOUS/LTD ACC HWY</t>
  </si>
  <si>
    <t>54U2</t>
  </si>
  <si>
    <t>AMBULANCE CASE: UNCONSCIOUS/OUTSIDE</t>
  </si>
  <si>
    <t>54U5</t>
  </si>
  <si>
    <t>AMBULANCE CASE: UNCONSCIOUS/SCHOOL</t>
  </si>
  <si>
    <t>54U9</t>
  </si>
  <si>
    <t>AMBULANCE CASE: UNCONSCIOUS/TRANSIT</t>
  </si>
  <si>
    <t>54D4</t>
  </si>
  <si>
    <t>AMBULANCE CASE: WATER RESCUE</t>
  </si>
  <si>
    <t>34K7</t>
  </si>
  <si>
    <t>ASSAULT (IN PROGRESS): KNIFE/CHILD ABUSE</t>
  </si>
  <si>
    <t xml:space="preserve">ASSAULT </t>
  </si>
  <si>
    <t>34K6</t>
  </si>
  <si>
    <t>ASSAULT (IN PROGRESS): KNIFE/FAMILY</t>
  </si>
  <si>
    <t>34K1</t>
  </si>
  <si>
    <t>ASSAULT (IN PROGRESS): KNIFE/INSIDE</t>
  </si>
  <si>
    <t>34K8</t>
  </si>
  <si>
    <t>ASSAULT (IN PROGRESS): KNIFE/LTD ACC HWY</t>
  </si>
  <si>
    <t>34K2</t>
  </si>
  <si>
    <t>ASSAULT (IN PROGRESS): KNIFE/OUTSIDE</t>
  </si>
  <si>
    <t>34K5</t>
  </si>
  <si>
    <t>ASSAULT (IN PROGRESS): KNIFE/SCHOOL</t>
  </si>
  <si>
    <t>34K9</t>
  </si>
  <si>
    <t>ASSAULT (IN PROGRESS): KNIFE/TRANSIT</t>
  </si>
  <si>
    <t>34Q7</t>
  </si>
  <si>
    <t>ASSAULT (IN PROGRESS): OTHER/CHILD ABUSE</t>
  </si>
  <si>
    <t>34Q6</t>
  </si>
  <si>
    <t>ASSAULT (IN PROGRESS): OTHER/FAMILY</t>
  </si>
  <si>
    <t>34Q1</t>
  </si>
  <si>
    <t>ASSAULT (IN PROGRESS): OTHER/INSIDE</t>
  </si>
  <si>
    <t>34Q8</t>
  </si>
  <si>
    <t>ASSAULT (IN PROGRESS): OTHER/LTD ACC HWY</t>
  </si>
  <si>
    <t>34Q2</t>
  </si>
  <si>
    <t>ASSAULT (IN PROGRESS): OTHER/OUTSIDE</t>
  </si>
  <si>
    <t>34Q5</t>
  </si>
  <si>
    <t>ASSAULT (IN PROGRESS): OTHER/SCHOOL</t>
  </si>
  <si>
    <t>34Q9</t>
  </si>
  <si>
    <t>ASSAULT (IN PROGRESS): OTHER/TRANSIT</t>
  </si>
  <si>
    <t>34S7</t>
  </si>
  <si>
    <t>ASSAULT (IN PROGRESS): SHOTS/CHILD</t>
  </si>
  <si>
    <t>34S6</t>
  </si>
  <si>
    <t>ASSAULT (IN PROGRESS): SHOTS/FAMILY</t>
  </si>
  <si>
    <t>34S1</t>
  </si>
  <si>
    <t>ASSAULT (IN PROGRESS): SHOTS/INSIDE</t>
  </si>
  <si>
    <t>34S8</t>
  </si>
  <si>
    <t>ASSAULT (IN PROGRESS): SHOTS/LTD ACC HWY</t>
  </si>
  <si>
    <t>34S2</t>
  </si>
  <si>
    <t>ASSAULT (IN PROGRESS): SHOTS/OUTSIDE</t>
  </si>
  <si>
    <t>34S5</t>
  </si>
  <si>
    <t>ASSAULT (IN PROGRESS): SHOTS/SCHOOL</t>
  </si>
  <si>
    <t>34S9</t>
  </si>
  <si>
    <t>ASSAULT (IN PROGRESS): SHOTS/TRANSIT</t>
  </si>
  <si>
    <t>34W7</t>
  </si>
  <si>
    <t>ASSAULT (IN PROGRESS): WEAPON/CHILD</t>
  </si>
  <si>
    <t>34W6</t>
  </si>
  <si>
    <t>ASSAULT (IN PROGRESS): WEAPON/FAMILY</t>
  </si>
  <si>
    <t>34W1</t>
  </si>
  <si>
    <t>ASSAULT (IN PROGRESS): WEAPON/INSIDE</t>
  </si>
  <si>
    <t>34W8</t>
  </si>
  <si>
    <t>ASSAULT (IN PROGRESS): WEAPON/LTD ACC HWY</t>
  </si>
  <si>
    <t>34W2</t>
  </si>
  <si>
    <t>ASSAULT (IN PROGRESS): WEAPON/OUTSIDE</t>
  </si>
  <si>
    <t>34W5</t>
  </si>
  <si>
    <t>ASSAULT (IN PROGRESS): WEAPON/SCHOOL</t>
  </si>
  <si>
    <t>34W9</t>
  </si>
  <si>
    <t>ASSAULT (IN PROGRESS): WEAPON/TRANSIT</t>
  </si>
  <si>
    <t>24K7</t>
  </si>
  <si>
    <t>ASSAULT (PAST): KNIFE/CHILD ABUSE</t>
  </si>
  <si>
    <t>24K6</t>
  </si>
  <si>
    <t>ASSAULT (PAST): KNIFE/FAMILY</t>
  </si>
  <si>
    <t>24K1</t>
  </si>
  <si>
    <t>ASSAULT (PAST): KNIFE/INSIDE</t>
  </si>
  <si>
    <t>24K8</t>
  </si>
  <si>
    <t>ASSAULT (PAST): KNIFE/LTD ACC HWY</t>
  </si>
  <si>
    <t>24K2</t>
  </si>
  <si>
    <t>ASSAULT (PAST): KNIFE/OUTSIDE</t>
  </si>
  <si>
    <t>24K5</t>
  </si>
  <si>
    <t>ASSAULT (PAST): KNIFE/SCHOOL</t>
  </si>
  <si>
    <t>24K9</t>
  </si>
  <si>
    <t>ASSAULT (PAST): KNIFE/TRANSIT</t>
  </si>
  <si>
    <t>24Q7</t>
  </si>
  <si>
    <t>ASSAULT (PAST): OTHER/CHILD ABUSE</t>
  </si>
  <si>
    <t>24Q6</t>
  </si>
  <si>
    <t>ASSAULT (PAST): OTHER/FAMILY</t>
  </si>
  <si>
    <t>24Q1</t>
  </si>
  <si>
    <t>ASSAULT (PAST): OTHER/INSIDE</t>
  </si>
  <si>
    <t>24Q8</t>
  </si>
  <si>
    <t>ASSAULT (PAST): OTHER/LTD ACC HWY</t>
  </si>
  <si>
    <t>24Q2</t>
  </si>
  <si>
    <t>ASSAULT (PAST): OTHER/OUTSIDE</t>
  </si>
  <si>
    <t>24Q5</t>
  </si>
  <si>
    <t>ASSAULT (PAST): OTHER/SCHOOL</t>
  </si>
  <si>
    <t>24Q9</t>
  </si>
  <si>
    <t>ASSAULT (PAST): OTHER/TRANSIT</t>
  </si>
  <si>
    <t>24S7</t>
  </si>
  <si>
    <t>ASSAULT (PAST): SHOTS/CHILD ABUSE</t>
  </si>
  <si>
    <t>24S6</t>
  </si>
  <si>
    <t>ASSAULT (PAST): SHOTS/FAMILY</t>
  </si>
  <si>
    <t>24S1</t>
  </si>
  <si>
    <t>ASSAULT (PAST): SHOTS/INSIDE</t>
  </si>
  <si>
    <t>24S2</t>
  </si>
  <si>
    <t>ASSAULT (PAST): SHOTS/OUTSIDE</t>
  </si>
  <si>
    <t>24S5</t>
  </si>
  <si>
    <t>ASSAULT (PAST): SHOTS/SCHOOL</t>
  </si>
  <si>
    <t>24S9</t>
  </si>
  <si>
    <t>ASSAULT (PAST): SHOTS/TRANSIT</t>
  </si>
  <si>
    <t>24W7</t>
  </si>
  <si>
    <t>ASSAULT (PAST): WEAPON/CHILD ABUSE</t>
  </si>
  <si>
    <t>24W6</t>
  </si>
  <si>
    <t>ASSAULT (PAST): WEAPON/FAMILY</t>
  </si>
  <si>
    <t>24W1</t>
  </si>
  <si>
    <t>ASSAULT (PAST): WEAPON/INSIDE</t>
  </si>
  <si>
    <t>24W8</t>
  </si>
  <si>
    <t>ASSAULT (PAST): WEAPON/LTD ACC HWY</t>
  </si>
  <si>
    <t>24W2</t>
  </si>
  <si>
    <t>ASSAULT (PAST): WEAPON/OUTSIDE</t>
  </si>
  <si>
    <t>24W5</t>
  </si>
  <si>
    <t>ASSAULT (PAST): WEAPON/SCHOOL</t>
  </si>
  <si>
    <t>24W9</t>
  </si>
  <si>
    <t>ASSAULT (PAST): WEAPON/TRANSIT</t>
  </si>
  <si>
    <t>58S</t>
  </si>
  <si>
    <t>ASSIST AMB: CARRY CASE</t>
  </si>
  <si>
    <t>ASSIST AMB</t>
  </si>
  <si>
    <t>58S8</t>
  </si>
  <si>
    <t>ASSIST AMB: CARRY CASE/ LTD ACC HWY</t>
  </si>
  <si>
    <t>58D</t>
  </si>
  <si>
    <t>ASSIST AMB: DISPUTE</t>
  </si>
  <si>
    <t>13Z1</t>
  </si>
  <si>
    <t>ASSIST POLICE OFFICER: CIV CLOTHES/INSIDE</t>
  </si>
  <si>
    <t>ASSIST POLICE OFFICER</t>
  </si>
  <si>
    <t>13Z8</t>
  </si>
  <si>
    <t>ASSIST POLICE OFFICER: CIV CLOTHES/LTD ACC HWY</t>
  </si>
  <si>
    <t>13Z2</t>
  </si>
  <si>
    <t>ASSIST POLICE OFFICER: CIV CLOTHES/OUTSIDE</t>
  </si>
  <si>
    <t>13Z9</t>
  </si>
  <si>
    <t>ASSIST POLICE OFFICER: CIV CLOTHES/TRANSIT</t>
  </si>
  <si>
    <t>13U1</t>
  </si>
  <si>
    <t>ASSIST POLICE OFFICER: UNIFORM/INSIDE</t>
  </si>
  <si>
    <t>13U8</t>
  </si>
  <si>
    <t>ASSIST POLICE OFFICER: UNIFORM/LTD ACC HWY</t>
  </si>
  <si>
    <t>13U2</t>
  </si>
  <si>
    <t>ASSIST POLICE OFFICER: UNIFORM/OUTSIDE</t>
  </si>
  <si>
    <t>13U5</t>
  </si>
  <si>
    <t>ASSIST POLICE OFFICER: UNIFORM/SCHOOL</t>
  </si>
  <si>
    <t>13U9</t>
  </si>
  <si>
    <t>ASSIST POLICE OFFICER: UNIFORM/TRANSIT</t>
  </si>
  <si>
    <t>13X</t>
  </si>
  <si>
    <t>ASSIST POLICE OFFICER: UNKNOWN</t>
  </si>
  <si>
    <t>13X1</t>
  </si>
  <si>
    <t>ASSIST POLICE OFFICER: UNKNOWN/INSIDE</t>
  </si>
  <si>
    <t>13X8</t>
  </si>
  <si>
    <t>ASSIST POLICE OFFICER: UNKNOWN/LTD ACC HWY</t>
  </si>
  <si>
    <t>13X2</t>
  </si>
  <si>
    <t>ASSIST POLICE OFFICER: UNKNOWN/OUTSIDE</t>
  </si>
  <si>
    <t>13X5</t>
  </si>
  <si>
    <t>ASSIST POLICE OFFICER: UNKNOWN/SCHOOL</t>
  </si>
  <si>
    <t>13X9</t>
  </si>
  <si>
    <t>ASSIST POLICE OFFICER: UNKNOWN/TRANSIT</t>
  </si>
  <si>
    <t>60I</t>
  </si>
  <si>
    <t>BROADCAST: CHASE/PURSUIT</t>
  </si>
  <si>
    <t>BROADCAST</t>
  </si>
  <si>
    <t>60I8</t>
  </si>
  <si>
    <t>BROADCAST: CHASE/PURSUIT/LTD ACC HWY</t>
  </si>
  <si>
    <t>31C</t>
  </si>
  <si>
    <t>BURGLARY (IN PROGRESS): COMMERCIAL</t>
  </si>
  <si>
    <t xml:space="preserve">BURGLARY </t>
  </si>
  <si>
    <t>31C9</t>
  </si>
  <si>
    <t>BURGLARY (IN PROGRESS): COMMERCIAL/TRANSIT</t>
  </si>
  <si>
    <t>31Q</t>
  </si>
  <si>
    <t>BURGLARY (IN PROGRESS): OTHER</t>
  </si>
  <si>
    <t>31C8</t>
  </si>
  <si>
    <t>BURGLARY (IN PROGRESS): OTHER/LTD ACC HWY</t>
  </si>
  <si>
    <t>31Q8</t>
  </si>
  <si>
    <t>31Q5</t>
  </si>
  <si>
    <t>BURGLARY (IN PROGRESS): OTHER/SCHOOL</t>
  </si>
  <si>
    <t>31Q9</t>
  </si>
  <si>
    <t>BURGLARY (IN PROGRESS): OTHER/TRANSIT</t>
  </si>
  <si>
    <t>31R</t>
  </si>
  <si>
    <t>BURGLARY (IN PROGRESS): RESIDENCE</t>
  </si>
  <si>
    <t>21C</t>
  </si>
  <si>
    <t>BURGLARY (PAST): COMMERCIAL</t>
  </si>
  <si>
    <t>21C9</t>
  </si>
  <si>
    <t>BURGLARY (PAST): COMMERCIAL/TRANSIT</t>
  </si>
  <si>
    <t>21Q</t>
  </si>
  <si>
    <t>BURGLARY (PAST): OTHER</t>
  </si>
  <si>
    <t>21Q5</t>
  </si>
  <si>
    <t>BURGLARY (PAST): OTHER/SCHOOL</t>
  </si>
  <si>
    <t>21Q9</t>
  </si>
  <si>
    <t>BURGLARY (PAST): OTHER/TRANSIT</t>
  </si>
  <si>
    <t>21R</t>
  </si>
  <si>
    <t>BURGLARY (PAST): RESIDENCE</t>
  </si>
  <si>
    <t>75B</t>
  </si>
  <si>
    <t>BUS INVESTIGATION</t>
  </si>
  <si>
    <t>75B9</t>
  </si>
  <si>
    <t>BUS INVESTIGATION/TRANSIT</t>
  </si>
  <si>
    <t>003</t>
  </si>
  <si>
    <t>CELLULAR OPEN LINE</t>
  </si>
  <si>
    <t>75E</t>
  </si>
  <si>
    <t>COMMUNITY EVENT</t>
  </si>
  <si>
    <t>75C</t>
  </si>
  <si>
    <t>COMMUNITY TIME</t>
  </si>
  <si>
    <t>DEPTOW</t>
  </si>
  <si>
    <t>DEPARTMENTAL TOW - PCT USE ONLY</t>
  </si>
  <si>
    <t>60H</t>
  </si>
  <si>
    <t>DISABLED VEHICLE</t>
  </si>
  <si>
    <t>60H8</t>
  </si>
  <si>
    <t>DISABLED VEHICLE: LTD ACC HWY</t>
  </si>
  <si>
    <t>50G1</t>
  </si>
  <si>
    <t>DISORDERLY: GROUP/INSIDE</t>
  </si>
  <si>
    <t>DISORDERLY</t>
  </si>
  <si>
    <t>50G8</t>
  </si>
  <si>
    <t>DISORDERLY: GROUP/LTD ACC HWY</t>
  </si>
  <si>
    <t>50G2</t>
  </si>
  <si>
    <t>DISORDERLY: GROUP/OUTSIDE</t>
  </si>
  <si>
    <t>50G5</t>
  </si>
  <si>
    <t>DISORDERLY: GROUP/SCHOOL</t>
  </si>
  <si>
    <t>50G9</t>
  </si>
  <si>
    <t>DISORDERLY: GROUP/TRANSIT</t>
  </si>
  <si>
    <t>50N1</t>
  </si>
  <si>
    <t>DISORDERLY: NOISE/INSIDE</t>
  </si>
  <si>
    <t>50N8</t>
  </si>
  <si>
    <t>DISORDERLY: NOISE/LTD ACC HWY</t>
  </si>
  <si>
    <t>50N2</t>
  </si>
  <si>
    <t>DISORDERLY: NOISE/OUTSIDE</t>
  </si>
  <si>
    <t>50N9</t>
  </si>
  <si>
    <t>DISORDERLY: NOISE/TRANSIT</t>
  </si>
  <si>
    <t>50P1</t>
  </si>
  <si>
    <t>DISORDERLY: PERSON/INSIDE</t>
  </si>
  <si>
    <t>50P8</t>
  </si>
  <si>
    <t>DISORDERLY: PERSON/LTD ACC HWY</t>
  </si>
  <si>
    <t>50P2</t>
  </si>
  <si>
    <t>DISORDERLY: PERSON/OUTSIDE</t>
  </si>
  <si>
    <t>50P5</t>
  </si>
  <si>
    <t>DISORDERLY: PERSON/SCHOOL</t>
  </si>
  <si>
    <t>50P9</t>
  </si>
  <si>
    <t>DISORDERLY: PERSON/TRANSIT</t>
  </si>
  <si>
    <t>52D6</t>
  </si>
  <si>
    <t>DISPUTE: FAMILY</t>
  </si>
  <si>
    <t>DISPUTE</t>
  </si>
  <si>
    <t>52F6</t>
  </si>
  <si>
    <t>DISPUTE: FIREARM/FAMILY</t>
  </si>
  <si>
    <t>52F1</t>
  </si>
  <si>
    <t>DISPUTE: FIREARM/INSIDE</t>
  </si>
  <si>
    <t>52F8</t>
  </si>
  <si>
    <t>DISPUTE: FIREARM/LTD ACC HWY</t>
  </si>
  <si>
    <t>52F2</t>
  </si>
  <si>
    <t>DISPUTE: FIREARM/OUTSIDE</t>
  </si>
  <si>
    <t>52F5</t>
  </si>
  <si>
    <t>DISPUTE: FIREARM/SCHOOL</t>
  </si>
  <si>
    <t>52F9</t>
  </si>
  <si>
    <t>DISPUTE: FIREARM/TRANSIT</t>
  </si>
  <si>
    <t>52D1</t>
  </si>
  <si>
    <t>DISPUTE: INSIDE</t>
  </si>
  <si>
    <t>52K6</t>
  </si>
  <si>
    <t>DISPUTE: KNIFE/FAMILY</t>
  </si>
  <si>
    <t>52K1</t>
  </si>
  <si>
    <t>DISPUTE: KNIFE/INSIDE</t>
  </si>
  <si>
    <t>52K8</t>
  </si>
  <si>
    <t>DISPUTE: KNIFE/LTD ACC HWY</t>
  </si>
  <si>
    <t>52K2</t>
  </si>
  <si>
    <t>DISPUTE: KNIFE/OUTSIDE</t>
  </si>
  <si>
    <t>52K5</t>
  </si>
  <si>
    <t>DISPUTE: KNIFE/SCHOOL</t>
  </si>
  <si>
    <t>52K9</t>
  </si>
  <si>
    <t>DISPUTE: KNIFE/TRANSIT</t>
  </si>
  <si>
    <t>52D8</t>
  </si>
  <si>
    <t>DISPUTE: LTD ACC HWY</t>
  </si>
  <si>
    <t>52D2</t>
  </si>
  <si>
    <t>DISPUTE: OUTSIDE</t>
  </si>
  <si>
    <t>52A6</t>
  </si>
  <si>
    <t>DISPUTE: PROJECT AWARE/DOMESTIC VIOLENCE ALARM</t>
  </si>
  <si>
    <t>52D5</t>
  </si>
  <si>
    <t>DISPUTE: SCHOOL</t>
  </si>
  <si>
    <t>52D9</t>
  </si>
  <si>
    <t>DISPUTE: TRANSIT</t>
  </si>
  <si>
    <t>52V6</t>
  </si>
  <si>
    <t>DISPUTE: VIOL ORDER PROTECT/FAMILY</t>
  </si>
  <si>
    <t>52V1</t>
  </si>
  <si>
    <t>DISPUTE: VIOL ORDER PROTECT/INSIDE</t>
  </si>
  <si>
    <t>52V2</t>
  </si>
  <si>
    <t>DISPUTE: VIOL ORDER PROTECT/OUTSIDE</t>
  </si>
  <si>
    <t>52V5</t>
  </si>
  <si>
    <t>DISPUTE: VIOL ORDER PROTECT/SCHOOL</t>
  </si>
  <si>
    <t>52V9</t>
  </si>
  <si>
    <t>DISPUTE: VIOL ORDER PROTECT/TRANSIT</t>
  </si>
  <si>
    <t>68E1</t>
  </si>
  <si>
    <t>EMS REQ ASSIST/INSIDE</t>
  </si>
  <si>
    <t>68E8</t>
  </si>
  <si>
    <t>EMS REQ ASSIST/LTD ACC HWY</t>
  </si>
  <si>
    <t>68E2</t>
  </si>
  <si>
    <t>EMS REQ ASSIST/OUTSIDE</t>
  </si>
  <si>
    <t>33</t>
  </si>
  <si>
    <t>EXPLOSIVE DEVICE OR THREAT: POSSIBLE BOMB</t>
  </si>
  <si>
    <t>EXPLOSIVE DEVICE OR THREAT</t>
  </si>
  <si>
    <t>33S5</t>
  </si>
  <si>
    <t>EXPLOSIVE DEVICE OR THREAT: POSSIBLE BOMB/SCHOOL</t>
  </si>
  <si>
    <t>33T9</t>
  </si>
  <si>
    <t>EXPLOSIVE DEVICE OR THREAT: POSSIBLE BOMB/TRANSIT</t>
  </si>
  <si>
    <t>59L</t>
  </si>
  <si>
    <t>FIRE: BLDG UNDER CONSTRUCTION/DEMOLITION</t>
  </si>
  <si>
    <t>FIRE</t>
  </si>
  <si>
    <t>59N</t>
  </si>
  <si>
    <t>FIRE: BRUSH</t>
  </si>
  <si>
    <t>59N8</t>
  </si>
  <si>
    <t>FIRE: BRUSH/LTD ACC HWY</t>
  </si>
  <si>
    <t>59G</t>
  </si>
  <si>
    <t>FIRE: CHURCH</t>
  </si>
  <si>
    <t>59C</t>
  </si>
  <si>
    <t>FIRE: COMMERCIAL</t>
  </si>
  <si>
    <t>59E</t>
  </si>
  <si>
    <t>FIRE: EXPLOSION</t>
  </si>
  <si>
    <t>59E8</t>
  </si>
  <si>
    <t>FIRE: EXPLOSION/LTD ACC HWY</t>
  </si>
  <si>
    <t>59E5</t>
  </si>
  <si>
    <t>FIRE: EXPLOSION/SCHOOL</t>
  </si>
  <si>
    <t>59E9</t>
  </si>
  <si>
    <t>FIRE: EXPLOSION/TRANSIT</t>
  </si>
  <si>
    <t>59A</t>
  </si>
  <si>
    <t>FIRE: FACTORY</t>
  </si>
  <si>
    <t>59R4</t>
  </si>
  <si>
    <t>FIRE: FIRE MULTI DWELLING</t>
  </si>
  <si>
    <t>59U</t>
  </si>
  <si>
    <t>FIRE: FIRE UNKNOWN</t>
  </si>
  <si>
    <t>59H</t>
  </si>
  <si>
    <t>FIRE: HOSPITAL</t>
  </si>
  <si>
    <t>59F</t>
  </si>
  <si>
    <t>FIRE: HOTEL/MOTEL</t>
  </si>
  <si>
    <t>59Q1</t>
  </si>
  <si>
    <t>FIRE: OTHER/INSIDE</t>
  </si>
  <si>
    <t>59Q8</t>
  </si>
  <si>
    <t>FIRE: OTHER/LTD ACC HWY</t>
  </si>
  <si>
    <t>59Q2</t>
  </si>
  <si>
    <t>FIRE: OTHER/OUTSIDE</t>
  </si>
  <si>
    <t>59Q5</t>
  </si>
  <si>
    <t>FIRE: OTHER/SCHOOL</t>
  </si>
  <si>
    <t>59Q9</t>
  </si>
  <si>
    <t>FIRE: OTHER/TRANSIT</t>
  </si>
  <si>
    <t>59W</t>
  </si>
  <si>
    <t>FIRE: OUTSIDE RUBBISH</t>
  </si>
  <si>
    <t>59W8</t>
  </si>
  <si>
    <t>FIRE: OUTSIDE RUBBISH/LTD ACC HWY</t>
  </si>
  <si>
    <t>59K</t>
  </si>
  <si>
    <t>FIRE: PUBLIC/OTHER</t>
  </si>
  <si>
    <t>59R3</t>
  </si>
  <si>
    <t>FIRE: RESIDENCE PRIVATE HOUSE</t>
  </si>
  <si>
    <t>59I</t>
  </si>
  <si>
    <t>FIRE: SCHOOL</t>
  </si>
  <si>
    <t>59I5</t>
  </si>
  <si>
    <t>59B</t>
  </si>
  <si>
    <t>FIRE: STORE</t>
  </si>
  <si>
    <t>59J</t>
  </si>
  <si>
    <t>FIRE: THEATRE/TV STUDIO</t>
  </si>
  <si>
    <t>59T9</t>
  </si>
  <si>
    <t>FIRE: TRAIN OR TRACKS/TRANSIT</t>
  </si>
  <si>
    <t>59M</t>
  </si>
  <si>
    <t>FIRE: VACANT</t>
  </si>
  <si>
    <t>59V</t>
  </si>
  <si>
    <t>FIRE: VEHICLE</t>
  </si>
  <si>
    <t>59V8</t>
  </si>
  <si>
    <t>FIRE: VEHICLE/LTD ACC HWY</t>
  </si>
  <si>
    <t>001</t>
  </si>
  <si>
    <t>HANG UP</t>
  </si>
  <si>
    <t>44H1</t>
  </si>
  <si>
    <t>HAZ MAT: INSIDE</t>
  </si>
  <si>
    <t>HAZ MAT</t>
  </si>
  <si>
    <t>44H8</t>
  </si>
  <si>
    <t>HAZ MAT: LTD ACC HWY</t>
  </si>
  <si>
    <t>44H2</t>
  </si>
  <si>
    <t>HAZ MAT: OUTSIDE</t>
  </si>
  <si>
    <t>44H5</t>
  </si>
  <si>
    <t>HAZ MAT: SCHOOL</t>
  </si>
  <si>
    <t>44H9</t>
  </si>
  <si>
    <t>HAZ MAT: TRANSIT</t>
  </si>
  <si>
    <t>75H</t>
  </si>
  <si>
    <t>HOUSE OF WORSHIP VISIT</t>
  </si>
  <si>
    <t>69I</t>
  </si>
  <si>
    <t>IAB</t>
  </si>
  <si>
    <t>10H1</t>
  </si>
  <si>
    <t>INVESTIGATE/POSSIBLE CRIME: CALLS FOR HELP/INSIDE</t>
  </si>
  <si>
    <t>INVESTIGATE/POSSIBLE CRIME</t>
  </si>
  <si>
    <t>10H8</t>
  </si>
  <si>
    <t>INVESTIGATE/POSSIBLE CRIME: CALLS FOR HELP/LTD ACC HWY</t>
  </si>
  <si>
    <t>10H2</t>
  </si>
  <si>
    <t>INVESTIGATE/POSSIBLE CRIME: CALLS FOR HELP/OUTSIDE</t>
  </si>
  <si>
    <t>10H5</t>
  </si>
  <si>
    <t>INVESTIGATE/POSSIBLE CRIME: CALLS FOR HELP/SCHOOL</t>
  </si>
  <si>
    <t>10H9</t>
  </si>
  <si>
    <t>INVESTIGATE/POSSIBLE CRIME: CALLS FOR HELP/TRANSIT</t>
  </si>
  <si>
    <t>10F1</t>
  </si>
  <si>
    <t>INVESTIGATE/POSSIBLE CRIME: FIREARM/INSIDE</t>
  </si>
  <si>
    <t>10F8</t>
  </si>
  <si>
    <t>INVESTIGATE/POSSIBLE CRIME: FIREARM/LTD ACC HWY</t>
  </si>
  <si>
    <t>10F2</t>
  </si>
  <si>
    <t>INVESTIGATE/POSSIBLE CRIME: FIREARM/OUTSIDE</t>
  </si>
  <si>
    <t>10F5</t>
  </si>
  <si>
    <t>INVESTIGATE/POSSIBLE CRIME: FIREARM/SCHOOL</t>
  </si>
  <si>
    <t>10F9</t>
  </si>
  <si>
    <t>INVESTIGATE/POSSIBLE CRIME: FIREARM/TRANSIT</t>
  </si>
  <si>
    <t>10K1</t>
  </si>
  <si>
    <t>INVESTIGATE/POSSIBLE CRIME: KNIFE/INSIDE</t>
  </si>
  <si>
    <t>10K8</t>
  </si>
  <si>
    <t>INVESTIGATE/POSSIBLE CRIME: KNIFE/LTD ACC HWY</t>
  </si>
  <si>
    <t>10K2</t>
  </si>
  <si>
    <t>INVESTIGATE/POSSIBLE CRIME: KNIFE/OUTSIDE</t>
  </si>
  <si>
    <t>10K5</t>
  </si>
  <si>
    <t>INVESTIGATE/POSSIBLE CRIME: KNIFE/SCHOOL</t>
  </si>
  <si>
    <t>10K9</t>
  </si>
  <si>
    <t>INVESTIGATE/POSSIBLE CRIME: KNIFE/TRANSIT</t>
  </si>
  <si>
    <t>10M1</t>
  </si>
  <si>
    <t>INVESTIGATE/POSSIBLE CRIME: MARIJUANA/INSIDE</t>
  </si>
  <si>
    <t>10M2</t>
  </si>
  <si>
    <t>INVESTIGATE/POSSIBLE CRIME: MARIJUANA/OUTSIDE</t>
  </si>
  <si>
    <t>10M5</t>
  </si>
  <si>
    <t>INVESTIGATE/POSSIBLE CRIME: MARIJUANA/SCHOOL</t>
  </si>
  <si>
    <t>10M9</t>
  </si>
  <si>
    <t>INVESTIGATE/POSSIBLE CRIME: MARIJUANA/TRANSIT</t>
  </si>
  <si>
    <t>10N1</t>
  </si>
  <si>
    <t>INVESTIGATE/POSSIBLE CRIME: NARCO SALES/INSIDE</t>
  </si>
  <si>
    <t>10N8</t>
  </si>
  <si>
    <t>INVESTIGATE/POSSIBLE CRIME: NARCO SALES/LTD ACC HWY</t>
  </si>
  <si>
    <t>10N2</t>
  </si>
  <si>
    <t>INVESTIGATE/POSSIBLE CRIME: NARCO SALES/OUTSIDE</t>
  </si>
  <si>
    <t>10N5</t>
  </si>
  <si>
    <t>INVESTIGATE/POSSIBLE CRIME: NARCO SALES/SCHOOL</t>
  </si>
  <si>
    <t>10N9</t>
  </si>
  <si>
    <t>INVESTIGATE/POSSIBLE CRIME: NARCO SALES/TRANSIT</t>
  </si>
  <si>
    <t>10Q1</t>
  </si>
  <si>
    <t>INVESTIGATE/POSSIBLE CRIME: OTHER/INSIDE</t>
  </si>
  <si>
    <t>10Q8</t>
  </si>
  <si>
    <t>INVESTIGATE/POSSIBLE CRIME: OTHER/LTD ACC HWY</t>
  </si>
  <si>
    <t>10Q2</t>
  </si>
  <si>
    <t>INVESTIGATE/POSSIBLE CRIME: OTHER/OUTSIDE</t>
  </si>
  <si>
    <t>10Y5</t>
  </si>
  <si>
    <t>INVESTIGATE/POSSIBLE CRIME: OTHER/SCHOOL</t>
  </si>
  <si>
    <t>10Q5</t>
  </si>
  <si>
    <t>10Q9</t>
  </si>
  <si>
    <t>INVESTIGATE/POSSIBLE CRIME: OTHER/TRANSIT</t>
  </si>
  <si>
    <t>10Y7</t>
  </si>
  <si>
    <t>INVESTIGATE/POSSIBLE CRIME: POSSIBLE CHILD ABUSE</t>
  </si>
  <si>
    <t>10Y8</t>
  </si>
  <si>
    <t>INVESTIGATE/POSSIBLE CRIME: SERIOUS OTHER/LTD ACC HWY</t>
  </si>
  <si>
    <t>10Y9</t>
  </si>
  <si>
    <t>INVESTIGATE/POSSIBLE CRIME: SERIOUS OTHER/TRANSIT</t>
  </si>
  <si>
    <t>10Y3</t>
  </si>
  <si>
    <t>INVESTIGATE/POSSIBLE CRIME: SERIOUS/OTHER</t>
  </si>
  <si>
    <t>10S1</t>
  </si>
  <si>
    <t>INVESTIGATE/POSSIBLE CRIME: SHOTS FIRED/INSIDE</t>
  </si>
  <si>
    <t>10S2</t>
  </si>
  <si>
    <t>INVESTIGATE/POSSIBLE CRIME: SHOTS FIRED/OUTSIDE</t>
  </si>
  <si>
    <t>10S5</t>
  </si>
  <si>
    <t>INVESTIGATE/POSSIBLE CRIME: SHOTS FIRED/SCHOOL</t>
  </si>
  <si>
    <t>10S9</t>
  </si>
  <si>
    <t>INVESTIGATE/POSSIBLE CRIME: SHOTS FIRED/TRANSIT</t>
  </si>
  <si>
    <t>10S8</t>
  </si>
  <si>
    <t>INVESTIGATE/POSSIBLE CRIME: SHOTS/LTD ACC HWY</t>
  </si>
  <si>
    <t>10P1</t>
  </si>
  <si>
    <t>INVESTIGATE/POSSIBLE CRIME: SUSP PERSON/INSIDE (PROWLER)</t>
  </si>
  <si>
    <t>10P8</t>
  </si>
  <si>
    <t>INVESTIGATE/POSSIBLE CRIME: SUSP PERSON/LTD ACC HWY</t>
  </si>
  <si>
    <t>10P2</t>
  </si>
  <si>
    <t>INVESTIGATE/POSSIBLE CRIME: SUSP PERSON/OUTSIDE (PROWLER)</t>
  </si>
  <si>
    <t>10P5</t>
  </si>
  <si>
    <t>INVESTIGATE/POSSIBLE CRIME: SUSP PERSON/SCHOOL (PROWLER)</t>
  </si>
  <si>
    <t>10P9</t>
  </si>
  <si>
    <t>INVESTIGATE/POSSIBLE CRIME: SUSP PERSON/TRANSIT</t>
  </si>
  <si>
    <t>10V1</t>
  </si>
  <si>
    <t>INVESTIGATE/POSSIBLE CRIME: SUSP VEHICLE/INSIDE</t>
  </si>
  <si>
    <t>10V8</t>
  </si>
  <si>
    <t>INVESTIGATE/POSSIBLE CRIME: SUSP VEHICLE/LTD ACC HWY</t>
  </si>
  <si>
    <t>10V2</t>
  </si>
  <si>
    <t>INVESTIGATE/POSSIBLE CRIME: SUSP VEHICLE/OUTSIDE</t>
  </si>
  <si>
    <t>10V9</t>
  </si>
  <si>
    <t>INVESTIGATE/POSSIBLE CRIME: SUSP VEHICLE/TRANSIT</t>
  </si>
  <si>
    <t>32P1</t>
  </si>
  <si>
    <t>LARCENY (IN PROGRESS): FROM PERSON/INSIDE</t>
  </si>
  <si>
    <t xml:space="preserve">LARCENY </t>
  </si>
  <si>
    <t>32P8</t>
  </si>
  <si>
    <t>LARCENY (IN PROGRESS): FROM PERSON/LTD ACC HWY</t>
  </si>
  <si>
    <t>32P2</t>
  </si>
  <si>
    <t>LARCENY (IN PROGRESS): FROM PERSON/OUTSIDE</t>
  </si>
  <si>
    <t>32P5</t>
  </si>
  <si>
    <t>LARCENY (IN PROGRESS): FROM PERSON/SCHOOL</t>
  </si>
  <si>
    <t>32P9</t>
  </si>
  <si>
    <t>LARCENY (IN PROGRESS): FROM PERSON/TRANSIT</t>
  </si>
  <si>
    <t>32Q1</t>
  </si>
  <si>
    <t>LARCENY (IN PROGRESS): OTHER/INSIDE</t>
  </si>
  <si>
    <t>32Q8</t>
  </si>
  <si>
    <t>LARCENY (IN PROGRESS): OTHER/LTD ACC HWY</t>
  </si>
  <si>
    <t>32Q2</t>
  </si>
  <si>
    <t>LARCENY (IN PROGRESS): OTHER/OUTSIDE</t>
  </si>
  <si>
    <t>32Q5</t>
  </si>
  <si>
    <t>LARCENY (IN PROGRESS): OTHER/SCHOOL</t>
  </si>
  <si>
    <t>32Q9</t>
  </si>
  <si>
    <t>LARCENY (IN PROGRESS): OTHER/TRANSIT</t>
  </si>
  <si>
    <t>32V1</t>
  </si>
  <si>
    <t>LARCENY (IN PROGRESS): VEHICLE/INSIDE</t>
  </si>
  <si>
    <t>32V8</t>
  </si>
  <si>
    <t>LARCENY (IN PROGRESS): VEHICLE/LTD ACC HWY</t>
  </si>
  <si>
    <t>32V2</t>
  </si>
  <si>
    <t>LARCENY (IN PROGRESS): VEHICLE/OUTSIDE</t>
  </si>
  <si>
    <t>32V9</t>
  </si>
  <si>
    <t>LARCENY (IN PROGRESS): VEHICLE/TRANSIT</t>
  </si>
  <si>
    <t>22P1</t>
  </si>
  <si>
    <t>LARCENY (PAST): FROM PERSON/INSIDE</t>
  </si>
  <si>
    <t>22P8</t>
  </si>
  <si>
    <t>LARCENY (PAST): FROM PERSON/LTD ACC HWY</t>
  </si>
  <si>
    <t>22P2</t>
  </si>
  <si>
    <t>LARCENY (PAST): FROM PERSON/OUTSIDE</t>
  </si>
  <si>
    <t>22P5</t>
  </si>
  <si>
    <t>LARCENY (PAST): FROM PERSON/SCHOOL</t>
  </si>
  <si>
    <t>22P9</t>
  </si>
  <si>
    <t>LARCENY (PAST): FROM PERSON/TRANSIT</t>
  </si>
  <si>
    <t>22Q1</t>
  </si>
  <si>
    <t>LARCENY (PAST): OTHER/INSIDE</t>
  </si>
  <si>
    <t>22Q8</t>
  </si>
  <si>
    <t>LARCENY (PAST): OTHER/LTD ACC HWY</t>
  </si>
  <si>
    <t>22Q2</t>
  </si>
  <si>
    <t>LARCENY (PAST): OTHER/OUTSIDE</t>
  </si>
  <si>
    <t>22Q5</t>
  </si>
  <si>
    <t>LARCENY (PAST): OTHER/SCHOOL</t>
  </si>
  <si>
    <t>22Q9</t>
  </si>
  <si>
    <t>LARCENY (PAST): OTHER/TRANSIT</t>
  </si>
  <si>
    <t>22V1</t>
  </si>
  <si>
    <t>LARCENY (PAST): VEHICLE/INSIDE</t>
  </si>
  <si>
    <t>22V8</t>
  </si>
  <si>
    <t>LARCENY (PAST): VEHICLE/LTD ACC HWY</t>
  </si>
  <si>
    <t>22V2</t>
  </si>
  <si>
    <t>LARCENY (PAST): VEHICLE/OUTSIDE</t>
  </si>
  <si>
    <t>22V5</t>
  </si>
  <si>
    <t>LARCENY (PAST): VEHICLE/SCHOOL</t>
  </si>
  <si>
    <t>22V9</t>
  </si>
  <si>
    <t>LARCENY (PAST): VEHICLE/TRANSIT</t>
  </si>
  <si>
    <t>008</t>
  </si>
  <si>
    <t>OTHER</t>
  </si>
  <si>
    <t>39C1</t>
  </si>
  <si>
    <t>OTHER CRIMES (IN PROGRESS): CRIM MISCHIEF/INSIDE</t>
  </si>
  <si>
    <t xml:space="preserve">OTHER CRIMES </t>
  </si>
  <si>
    <t>39C8</t>
  </si>
  <si>
    <t>OTHER CRIMES (IN PROGRESS): CRIM MISCHIEF/LTD ACC HWY</t>
  </si>
  <si>
    <t>39C2</t>
  </si>
  <si>
    <t>OTHER CRIMES (IN PROGRESS): CRIM MISCHIEF/OUTSIDE</t>
  </si>
  <si>
    <t>39C5</t>
  </si>
  <si>
    <t>OTHER CRIMES (IN PROGRESS): CRIM MISCHIEF/SCHOOL</t>
  </si>
  <si>
    <t>39C9</t>
  </si>
  <si>
    <t>OTHER CRIMES (IN PROGRESS): CRIM MISCHIEF/TRANSIT</t>
  </si>
  <si>
    <t>39P6</t>
  </si>
  <si>
    <t>OTHER CRIMES (IN PROGRESS): DOMESTIC PANIC ALARM ATS</t>
  </si>
  <si>
    <t>39G8</t>
  </si>
  <si>
    <t>OTHER CRIMES (IN PROGRESS): GRAFF VANDALISM/LTD ACC HWY</t>
  </si>
  <si>
    <t>39G9</t>
  </si>
  <si>
    <t>OTHER CRIMES (IN PROGRESS): GRAFF VANDALISM/TRANSIT</t>
  </si>
  <si>
    <t>39G</t>
  </si>
  <si>
    <t>OTHER CRIMES (IN PROGRESS): GRAFFITI VANDALISM</t>
  </si>
  <si>
    <t>39H1</t>
  </si>
  <si>
    <t>OTHER CRIMES (IN PROGRESS): HARASSMENT/INSIDE</t>
  </si>
  <si>
    <t>39H8</t>
  </si>
  <si>
    <t>OTHER CRIMES (IN PROGRESS): HARASSMENT/LTD ACC HWY</t>
  </si>
  <si>
    <t>39H2</t>
  </si>
  <si>
    <t>OTHER CRIMES (IN PROGRESS): HARASSMENT/OUTSIDE</t>
  </si>
  <si>
    <t>39H5</t>
  </si>
  <si>
    <t>OTHER CRIMES (IN PROGRESS): HARASSMENT/SCHOOL</t>
  </si>
  <si>
    <t>39H9</t>
  </si>
  <si>
    <t>OTHER CRIMES (IN PROGRESS): HARASSMENT/TRANSIT</t>
  </si>
  <si>
    <t>39Q1</t>
  </si>
  <si>
    <t>OTHER CRIMES (IN PROGRESS): OTHER/INSIDE</t>
  </si>
  <si>
    <t>39Q8</t>
  </si>
  <si>
    <t>OTHER CRIMES (IN PROGRESS): OTHER/LTD ACC HWY</t>
  </si>
  <si>
    <t>39Q2</t>
  </si>
  <si>
    <t>OTHER CRIMES (IN PROGRESS): OTHER/OUTSIDE</t>
  </si>
  <si>
    <t>39Q5</t>
  </si>
  <si>
    <t>OTHER CRIMES (IN PROGRESS): OTHER/SCHOOL</t>
  </si>
  <si>
    <t>39Q9</t>
  </si>
  <si>
    <t>OTHER CRIMES (IN PROGRESS): OTHER/TRANSIT</t>
  </si>
  <si>
    <t>39P</t>
  </si>
  <si>
    <t>OTHER CRIMES (IN PROGRESS): PANIC ALARM ATS</t>
  </si>
  <si>
    <t>39T1</t>
  </si>
  <si>
    <t>OTHER CRIMES (IN PROGRESS): TRESPASS/INSIDE</t>
  </si>
  <si>
    <t>39T8</t>
  </si>
  <si>
    <t>OTHER CRIMES (IN PROGRESS): TRESPASS/LTD ACC HWY</t>
  </si>
  <si>
    <t>39T2</t>
  </si>
  <si>
    <t>OTHER CRIMES (IN PROGRESS): TRESPASS/OUTSIDE</t>
  </si>
  <si>
    <t>39T5</t>
  </si>
  <si>
    <t>OTHER CRIMES (IN PROGRESS): TRESPASS/SCHOOL</t>
  </si>
  <si>
    <t>39T9</t>
  </si>
  <si>
    <t>OTHER CRIMES (IN PROGRESS): TRESPASS/TRANSIT</t>
  </si>
  <si>
    <t>39V6</t>
  </si>
  <si>
    <t>OTHER CRIMES (IN PROGRESS): VIOL ORDER PROTECT/FAMILY</t>
  </si>
  <si>
    <t>39V1</t>
  </si>
  <si>
    <t>OTHER CRIMES (IN PROGRESS): VIOL ORDER PROTECT/INSIDE</t>
  </si>
  <si>
    <t>39V8</t>
  </si>
  <si>
    <t>OTHER CRIMES (IN PROGRESS): VIOL ORDER PROTECT/LTD ACC HWY</t>
  </si>
  <si>
    <t>39V2</t>
  </si>
  <si>
    <t>OTHER CRIMES (IN PROGRESS): VIOL ORDER PROTECT/OUTSIDE</t>
  </si>
  <si>
    <t>39V5</t>
  </si>
  <si>
    <t>OTHER CRIMES (IN PROGRESS): VIOL ORDER PROTECT/SCHOOL</t>
  </si>
  <si>
    <t>39V9</t>
  </si>
  <si>
    <t>OTHER CRIMES (IN PROGRESS): VIOL ORDER PROTECT/TRANSIT</t>
  </si>
  <si>
    <t>29C8</t>
  </si>
  <si>
    <t>OTHER CRIMES (PAST): CRIM MISCHIEF/LTD ACC HWY</t>
  </si>
  <si>
    <t>29C9</t>
  </si>
  <si>
    <t>OTHER CRIMES (PAST): CRIM MISCHIEF/TRANSIT</t>
  </si>
  <si>
    <t>29C</t>
  </si>
  <si>
    <t>OTHER CRIMES (PAST): CRIMINAL MISCHIEF</t>
  </si>
  <si>
    <t>29B9</t>
  </si>
  <si>
    <t>OTHER CRIMES (PAST): FAREBEAT/TRESPASS</t>
  </si>
  <si>
    <t>29H1</t>
  </si>
  <si>
    <t>OTHER CRIMES (PAST): HARASSMENT/INSIDE</t>
  </si>
  <si>
    <t>29H8</t>
  </si>
  <si>
    <t>OTHER CRIMES (PAST): HARASSMENT/LTD ACC HWY</t>
  </si>
  <si>
    <t>29H2</t>
  </si>
  <si>
    <t>OTHER CRIMES (PAST): HARASSMENT/OUTSIDE</t>
  </si>
  <si>
    <t>29H5</t>
  </si>
  <si>
    <t>OTHER CRIMES (PAST): HARASSMENT/SCHOOL</t>
  </si>
  <si>
    <t>29H9</t>
  </si>
  <si>
    <t>OTHER CRIMES (PAST): HARASSMENT/TRANSIT</t>
  </si>
  <si>
    <t>29Q1</t>
  </si>
  <si>
    <t>OTHER CRIMES (PAST): OTHER/INSIDE</t>
  </si>
  <si>
    <t>29Q8</t>
  </si>
  <si>
    <t>OTHER CRIMES (PAST): OTHER/LTD ACC HWY</t>
  </si>
  <si>
    <t>29Q2</t>
  </si>
  <si>
    <t>OTHER CRIMES (PAST): OTHER/OUTSIDE</t>
  </si>
  <si>
    <t>29Q5</t>
  </si>
  <si>
    <t>OTHER CRIMES (PAST): OTHER/SCHOOL</t>
  </si>
  <si>
    <t>29Q9</t>
  </si>
  <si>
    <t>OTHER CRIMES (PAST): OTHER/TRANSIT</t>
  </si>
  <si>
    <t>29T1</t>
  </si>
  <si>
    <t>OTHER CRIMES (PAST): TRESPASS/INSIDE</t>
  </si>
  <si>
    <t>29T2</t>
  </si>
  <si>
    <t>OTHER CRIMES (PAST): TRESPASS/OUTSIDE</t>
  </si>
  <si>
    <t>29T5</t>
  </si>
  <si>
    <t>OTHER CRIMES (PAST): TRESPASS/SCHOOL</t>
  </si>
  <si>
    <t>29T9</t>
  </si>
  <si>
    <t>OTHER CRIMES (PAST): TRESPASS/TRANSIT</t>
  </si>
  <si>
    <t>69S</t>
  </si>
  <si>
    <t>OTHER NON-CRIME INCIDENT (SPECIFY)</t>
  </si>
  <si>
    <t xml:space="preserve">OTHER NON-CRIME INCIDENT </t>
  </si>
  <si>
    <t>69S8</t>
  </si>
  <si>
    <t>OTHER NON-CRIME INCIDENT (SPECIFY): LTD ACC HWY</t>
  </si>
  <si>
    <t>69S9</t>
  </si>
  <si>
    <t>OTHER NON-CRIME INCIDENT (SPECIFY): TRANSIT</t>
  </si>
  <si>
    <t>69N1</t>
  </si>
  <si>
    <t>OTHER NON-CRIME INCIDENT: NARCO SALE/INSIDE</t>
  </si>
  <si>
    <t>OTHER NON-CRIME INCIDENT</t>
  </si>
  <si>
    <t>69N2</t>
  </si>
  <si>
    <t>OTHER NON-CRIME INCIDENT: NARCO SALE/OUTSIDE</t>
  </si>
  <si>
    <t>69N9</t>
  </si>
  <si>
    <t>OTHER NON-CRIME INCIDENT: NARCO SALE/TRANSIT</t>
  </si>
  <si>
    <t>69M1</t>
  </si>
  <si>
    <t>OTHER-CRIME INCIDENT: MARIJUANA/INSIDE</t>
  </si>
  <si>
    <t>OTHER-CRIME INCIDENT</t>
  </si>
  <si>
    <t>69M2</t>
  </si>
  <si>
    <t>OTHER-CRIME INCIDENT: MARIJUANA/OUTSIDE</t>
  </si>
  <si>
    <t>69M9</t>
  </si>
  <si>
    <t>OTHER-CRIME INCIDENT: MARIJUANA/TRANSIT</t>
  </si>
  <si>
    <t>40V</t>
  </si>
  <si>
    <t>PANIC ALARM</t>
  </si>
  <si>
    <t>40V8</t>
  </si>
  <si>
    <t>PANIC ALARM: LTD ACC HWY</t>
  </si>
  <si>
    <t>40V5</t>
  </si>
  <si>
    <t>PANIC ALARM: SCHOOL</t>
  </si>
  <si>
    <t>12Z1</t>
  </si>
  <si>
    <t>PO/SECURITY HOLDING SUSPECT: CIV CLOTHES/INSIDE</t>
  </si>
  <si>
    <t>PO/SECURITY HOLDING SUSPECT</t>
  </si>
  <si>
    <t>12Z2</t>
  </si>
  <si>
    <t>PO/SECURITY HOLDING SUSPECT: CIV CLOTHES/OUTSIDE</t>
  </si>
  <si>
    <t>12U1</t>
  </si>
  <si>
    <t>PO/SECURITY HOLDING SUSPECT: UNIFORM/INSIDE</t>
  </si>
  <si>
    <t>12U2</t>
  </si>
  <si>
    <t>PO/SECURITY HOLDING SUSPECT: UNIFORM/OUTSIDE</t>
  </si>
  <si>
    <t>12U5</t>
  </si>
  <si>
    <t>PO/SECURITY HOLDING SUSPECT: UNIFORM/SCHOOL</t>
  </si>
  <si>
    <t>12U9</t>
  </si>
  <si>
    <t>PO/SECURITY HOLDING SUSPECT: UNIFORM/TRANSIT</t>
  </si>
  <si>
    <t>12X</t>
  </si>
  <si>
    <t>PO/SECURITY HOLDING SUSPECT: UNKNOWN</t>
  </si>
  <si>
    <t>12X1</t>
  </si>
  <si>
    <t>PO/SECURITY HOLDING SUSPECT: UNKNOWN/INSIDE</t>
  </si>
  <si>
    <t>12X8</t>
  </si>
  <si>
    <t>PO/SECURITY HOLDING SUSPECT: UNKNOWN/LTD ACC HWY</t>
  </si>
  <si>
    <t>12X2</t>
  </si>
  <si>
    <t>PO/SECURITY HOLDING SUSPECT: UNKNOWN/OUTSIDE</t>
  </si>
  <si>
    <t>12X5</t>
  </si>
  <si>
    <t>PO/SECURITY HOLDING SUSPECT: UNKNOWN/SCHOOL</t>
  </si>
  <si>
    <t>12X9</t>
  </si>
  <si>
    <t>PO/SECURITY HOLDING SUSPECT: UNKNOWN/TRANSIT</t>
  </si>
  <si>
    <t>30B</t>
  </si>
  <si>
    <t>ROBBERY (IN PROGRESS): BANK</t>
  </si>
  <si>
    <t xml:space="preserve">ROBBERY </t>
  </si>
  <si>
    <t>30C</t>
  </si>
  <si>
    <t>ROBBERY (IN PROGRESS): COMMERCIAL</t>
  </si>
  <si>
    <t>30C8</t>
  </si>
  <si>
    <t>ROBBERY (IN PROGRESS): COMMERCIAL/LTD ACC HWY</t>
  </si>
  <si>
    <t>30C9</t>
  </si>
  <si>
    <t>ROBBERY (IN PROGRESS): COMMERCIAL/TRANSIT</t>
  </si>
  <si>
    <t>30Q1</t>
  </si>
  <si>
    <t>ROBBERY (IN PROGRESS): OTHER/INSIDE</t>
  </si>
  <si>
    <t>30Q8</t>
  </si>
  <si>
    <t>ROBBERY (IN PROGRESS): OTHER/LTD ACC HWY</t>
  </si>
  <si>
    <t>30Q2</t>
  </si>
  <si>
    <t>ROBBERY (IN PROGRESS): OTHER/OUTSIDE</t>
  </si>
  <si>
    <t>30Q5</t>
  </si>
  <si>
    <t>ROBBERY (IN PROGRESS): OTHER/SCHOOL</t>
  </si>
  <si>
    <t>30Q9</t>
  </si>
  <si>
    <t>ROBBERY (IN PROGRESS): OTHER/TRANSIT</t>
  </si>
  <si>
    <t>30R</t>
  </si>
  <si>
    <t>ROBBERY (IN PROGRESS): RESIDENCE</t>
  </si>
  <si>
    <t>20B</t>
  </si>
  <si>
    <t>ROBBERY (PAST): BANK</t>
  </si>
  <si>
    <t>20C</t>
  </si>
  <si>
    <t>ROBBERY (PAST): COMMERCIAL</t>
  </si>
  <si>
    <t>20Q1</t>
  </si>
  <si>
    <t>ROBBERY (PAST): OTHER/INSIDE</t>
  </si>
  <si>
    <t>20Q8</t>
  </si>
  <si>
    <t>ROBBERY (PAST): OTHER/LTD ACC HWY</t>
  </si>
  <si>
    <t>20Q2</t>
  </si>
  <si>
    <t>ROBBERY (PAST): OTHER/OUTSIDE</t>
  </si>
  <si>
    <t>20Q5</t>
  </si>
  <si>
    <t>ROBBERY (PAST): OTHER/SCHOOL</t>
  </si>
  <si>
    <t>20Q9</t>
  </si>
  <si>
    <t>ROBBERY (PAST): OTHER/TRANSIT</t>
  </si>
  <si>
    <t>20R</t>
  </si>
  <si>
    <t>ROBBERY (PAST): RESIDENCE</t>
  </si>
  <si>
    <t>ROTOW</t>
  </si>
  <si>
    <t>ROTATIONAL TOW</t>
  </si>
  <si>
    <t>51</t>
  </si>
  <si>
    <t>ROVING BAND</t>
  </si>
  <si>
    <t>51L8</t>
  </si>
  <si>
    <t>ROVING BAND: LTD ACC HWY</t>
  </si>
  <si>
    <t>68U1</t>
  </si>
  <si>
    <t>SEE COMPLAINANT: 85 - MOS/INSIDE</t>
  </si>
  <si>
    <t>SEE COMPLAINANT</t>
  </si>
  <si>
    <t>68U8</t>
  </si>
  <si>
    <t>SEE COMPLAINANT: 85 - MOS/LTD ACC HWY</t>
  </si>
  <si>
    <t>68U2</t>
  </si>
  <si>
    <t>SEE COMPLAINANT: 85 - MOS/OUTSIDE</t>
  </si>
  <si>
    <t>68U5</t>
  </si>
  <si>
    <t>SEE COMPLAINANT: 85 - MOS/SCHOOL</t>
  </si>
  <si>
    <t>68U9</t>
  </si>
  <si>
    <t>SEE COMPLAINANT: 85 - MOS/TRANSIT</t>
  </si>
  <si>
    <t>68A1</t>
  </si>
  <si>
    <t>SEE COMPLAINANT: ACS WORKER/INSIDE</t>
  </si>
  <si>
    <t>68A2</t>
  </si>
  <si>
    <t>SEE COMPLAINANT: ACS WORKER/OUTSIDE</t>
  </si>
  <si>
    <t>68A5</t>
  </si>
  <si>
    <t>SEE COMPLAINANT: ACS WORKER/SCHOOL</t>
  </si>
  <si>
    <t>68M1</t>
  </si>
  <si>
    <t>SEE COMPLAINANT: ASSIST MARSHALL/INSIDE</t>
  </si>
  <si>
    <t>68M2</t>
  </si>
  <si>
    <t>SEE COMPLAINANT: ASSIST MARSHALL/OUTSIDE</t>
  </si>
  <si>
    <t>68M9</t>
  </si>
  <si>
    <t>SEE COMPLAINANT: ASSIST MARSHALL/TRANSIT</t>
  </si>
  <si>
    <t>68Q1</t>
  </si>
  <si>
    <t>SEE COMPLAINANT: OTHER/INSIDE</t>
  </si>
  <si>
    <t>68Q8</t>
  </si>
  <si>
    <t>SEE COMPLAINANT: OTHER/LTD ACC HWY</t>
  </si>
  <si>
    <t>68Q2</t>
  </si>
  <si>
    <t>SEE COMPLAINANT: OTHER/OUTSIDE</t>
  </si>
  <si>
    <t>68Q5</t>
  </si>
  <si>
    <t>SEE COMPLAINANT: OTHER/SCHOOL</t>
  </si>
  <si>
    <t>68Q9</t>
  </si>
  <si>
    <t>SEE COMPLAINANT: OTHER/TRANSIT</t>
  </si>
  <si>
    <t>68G2</t>
  </si>
  <si>
    <t>SEE COMPLAINANT: SERVING SUMMONS/OUTSIDE</t>
  </si>
  <si>
    <t>71S</t>
  </si>
  <si>
    <t>SEX OFFENDER HA ADDRESS VERIFY</t>
  </si>
  <si>
    <t>10S4</t>
  </si>
  <si>
    <t>SHOT SPOTTER</t>
  </si>
  <si>
    <t>004</t>
  </si>
  <si>
    <t>SPANISH TRANSFER</t>
  </si>
  <si>
    <t>75S</t>
  </si>
  <si>
    <t>STATION INSPECTION BY TRANSIT BUREAU PERSONNEL</t>
  </si>
  <si>
    <t>44L1</t>
  </si>
  <si>
    <t>SUSP LETTER: INSIDE</t>
  </si>
  <si>
    <t>SUSP LETTER</t>
  </si>
  <si>
    <t>44L2</t>
  </si>
  <si>
    <t>SUSP LETTER: OUTSIDE</t>
  </si>
  <si>
    <t>44L5</t>
  </si>
  <si>
    <t>SUSP LETTER: SCHOOL</t>
  </si>
  <si>
    <t>44P1</t>
  </si>
  <si>
    <t>SUSP PACKAGE: INSIDE</t>
  </si>
  <si>
    <t>SUSP PACKAGE</t>
  </si>
  <si>
    <t>44P8</t>
  </si>
  <si>
    <t>SUSP PACKAGE: LTD ACC HWY</t>
  </si>
  <si>
    <t>44P2</t>
  </si>
  <si>
    <t>SUSP PACKAGE: OUTSIDE</t>
  </si>
  <si>
    <t>44P5</t>
  </si>
  <si>
    <t>SUSP PACKAGE: SCHOOL</t>
  </si>
  <si>
    <t>44P9</t>
  </si>
  <si>
    <t>SUSP PACKAGE: TRANSIT</t>
  </si>
  <si>
    <t>44S1</t>
  </si>
  <si>
    <t>SUSP SUBSTANCE: INSIDE</t>
  </si>
  <si>
    <t>SUSP SUBSTANCE</t>
  </si>
  <si>
    <t>44S2</t>
  </si>
  <si>
    <t>SUSP SUBSTANCE: OUTSIDE</t>
  </si>
  <si>
    <t>44S9</t>
  </si>
  <si>
    <t>SUSP SUBSTANCE: TRANSIT</t>
  </si>
  <si>
    <t>011</t>
  </si>
  <si>
    <t>TEXT OTHER</t>
  </si>
  <si>
    <t>75Z</t>
  </si>
  <si>
    <t>TRAFFIC SAFETY</t>
  </si>
  <si>
    <t>67S</t>
  </si>
  <si>
    <t>TRAFFIC/PARKING COND</t>
  </si>
  <si>
    <t>67S8</t>
  </si>
  <si>
    <t>TRAFFIC/PARKING COND: LTD ACC HWY</t>
  </si>
  <si>
    <t>75O</t>
  </si>
  <si>
    <t>TRAIN ORDER MAINTENANCE SWEEP (TOMS)</t>
  </si>
  <si>
    <t xml:space="preserve">TRAIN ORDER MAINTENANCE SWEEP </t>
  </si>
  <si>
    <t>75M</t>
  </si>
  <si>
    <t>TRAIN RUN/MOBILE ORDER MAINTENANCE SWEEP</t>
  </si>
  <si>
    <t>75T</t>
  </si>
  <si>
    <t>TRANSIT PATROL/INSPECTION BY NON-TRANSIT BUREAU PERSONNEL</t>
  </si>
  <si>
    <t>66</t>
  </si>
  <si>
    <t>UNUSUAL INCIDENT</t>
  </si>
  <si>
    <t>66T9</t>
  </si>
  <si>
    <t>UNUSUAL INCIDENT: TRANSIT</t>
  </si>
  <si>
    <t>44B</t>
  </si>
  <si>
    <t>USPS BIOHAZARD DETECTION SYSTEM</t>
  </si>
  <si>
    <t>65S</t>
  </si>
  <si>
    <t>UTILITY TROUBLE (SPECIFY)</t>
  </si>
  <si>
    <t xml:space="preserve">UTILITY TROUBLE </t>
  </si>
  <si>
    <t>65S8</t>
  </si>
  <si>
    <t>UTILITY TROUBLE (SPECIFY): LTD ACC HWY</t>
  </si>
  <si>
    <t>65S5</t>
  </si>
  <si>
    <t>UTILITY TROUBLE (SPECIFY): SCHOOL</t>
  </si>
  <si>
    <t>65S9</t>
  </si>
  <si>
    <t>UTILITY TROUBLE (SPECIFY): TRANSIT</t>
  </si>
  <si>
    <t>53D</t>
  </si>
  <si>
    <t>VEHICLE ACCIDENT: DISPUTE</t>
  </si>
  <si>
    <t>VEHICLE ACCIDENT</t>
  </si>
  <si>
    <t>53D8</t>
  </si>
  <si>
    <t>VEHICLE ACCIDENT: DISPUTE/LTD ACC HWY</t>
  </si>
  <si>
    <t>53H</t>
  </si>
  <si>
    <t>VEHICLE ACCIDENT: HIT BY AUTO</t>
  </si>
  <si>
    <t>53H8</t>
  </si>
  <si>
    <t>VEHICLE ACCIDENT: HIT BY AUTO/LTD ACC HWY</t>
  </si>
  <si>
    <t>53I</t>
  </si>
  <si>
    <t>VEHICLE ACCIDENT: INJURY</t>
  </si>
  <si>
    <t>53I8</t>
  </si>
  <si>
    <t>VEHICLE ACCIDENT: INJURY/LTD ACC HWY</t>
  </si>
  <si>
    <t>53X</t>
  </si>
  <si>
    <t>VEHICLE ACCIDENT: PERSON PINNED</t>
  </si>
  <si>
    <t>53X8</t>
  </si>
  <si>
    <t>VEHICLE ACCIDENT: PERSON PINNED/LTD ACC HWY</t>
  </si>
  <si>
    <t>53S</t>
  </si>
  <si>
    <t>VEHICLE ACCIDENT: SPECIAL CONDITION</t>
  </si>
  <si>
    <t>53S8</t>
  </si>
  <si>
    <t>VEHICLE ACCIDENT: SPECIAL CONDITION/LTD ACC HWY</t>
  </si>
  <si>
    <t>56S</t>
  </si>
  <si>
    <t>VERIFY AMB NEEDED</t>
  </si>
  <si>
    <t>56S8</t>
  </si>
  <si>
    <t>VERIFY AMB NEEDED: LTD ACC HWY</t>
  </si>
  <si>
    <t>56S9</t>
  </si>
  <si>
    <t>VERIFY AMB NEEDED: TRANSIT</t>
  </si>
  <si>
    <t>75D</t>
  </si>
  <si>
    <t>VISIBILITY PATROL: DIRECTED</t>
  </si>
  <si>
    <t>VISIBILITY PATROL</t>
  </si>
  <si>
    <t>75F</t>
  </si>
  <si>
    <t>VISIBILITY PATROL: FAMILY/HOME VISIT</t>
  </si>
  <si>
    <t>75I</t>
  </si>
  <si>
    <t>VISIBILITY PATROL: INTERIOR</t>
  </si>
  <si>
    <t>75L</t>
  </si>
  <si>
    <t>VISIBILITY PATROL: LICENSED PREMISE</t>
  </si>
  <si>
    <t>75W</t>
  </si>
  <si>
    <t>VISIBILITY PATROL: WARRANT CHECK</t>
  </si>
  <si>
    <t>75W9</t>
  </si>
  <si>
    <t>75P</t>
  </si>
  <si>
    <t>VISIBILITY PATROL:PUBLIC/PRIVATE EDUCATIONAL FACILITY</t>
  </si>
  <si>
    <t>005</t>
  </si>
  <si>
    <t>WRONG NUMBER</t>
  </si>
  <si>
    <t>75Y</t>
  </si>
  <si>
    <t>YOUTH HOME VISIT</t>
  </si>
  <si>
    <t>Row Labels</t>
  </si>
  <si>
    <t>Sum of Count</t>
  </si>
  <si>
    <t>Super Category</t>
  </si>
  <si>
    <t>SAFETY AND HEALTH</t>
  </si>
  <si>
    <t>POTENTIAL CRIME</t>
  </si>
  <si>
    <t>CRIME</t>
  </si>
  <si>
    <t>Grand Total</t>
  </si>
  <si>
    <t>Radio Codes</t>
  </si>
  <si>
    <t>34K7, 34K6, 34K1, 34K8, 34K2, 34K5, 34K9, 34Q7, 34Q6, 34Q1, 34Q8, 34Q2, 34Q5, 34Q9, 34S7, 34S6, 34S1, 34S8, 34S2, 34S5, 34S9, 34W7, 34W6, 34W1, 34W8, 34W2, 34W5, 34W9, 24K7, 24K6, 24K1, 24K8, 24K2, 24K5, 24K9, 24Q7, 24Q6, 24Q1, 24Q8, 24Q2, 24Q5, 24Q9, 24S7, 24S6, 24S1, 24S2, 24S5, 24S9, 24W7, 24W6, 24W1, 24W8, 24W2, 24W5, 24W9, 31C, 31C9, 31Q, 31C8, 31Q8, 31Q5, 31Q9, 31R, 21C, 21C9, 21Q, 21Q5, 21Q9, 21R, 50G1, 50G8, 50G2, 50G5, 50G9, 50N1, 50N8, 50N2, 50N9, 50P1, 50P8, 50P2, 50P5, 50P9, 32P1, 32P8, 32P2, 32P5, 32P9, 32Q1, 32Q8, 32Q2, 32Q5, 32Q9, 32V1, 32V8, 32V2, 32V9, 22P1, 22P8, 22P2, 22P5, 22P9, 22Q1, 22Q8, 22Q2, 22Q5, 22Q9, 22V1, 22V8, 22V2, 22V5, 22V9, 39C1, 39C8, 39C2, 39C5, 39C9, 39P6, 39G8, 39G9, 39G, 39H1, 39H8, 39H2, 39H5, 39H9, 39Q1, 39Q8, 39Q2, 39Q5, 39Q9, 39P, 39T1, 39T8, 39T2, 39T5, 39T9, 39V6, 39V1, 39V8, 39V2, 39V5, 39V9, 29C8, 29C9, 29C, 29B9, 29H1, 29H8, 29H2, 29H5, 29H9, 29Q1, 29Q8, 29Q2, 29Q5, 29Q9, 29T1, 29T2, 29T5, 29T9, 69M1, 69M2, 69M9, 30B, 30C, 30C8, 30C9, 30Q1, 30Q8, 30Q2, 30Q5, 30Q9, 30R, 20B, 20C, 20Q1, 20Q8, 20Q2, 20Q5, 20Q9, 20R</t>
  </si>
  <si>
    <t>Check</t>
  </si>
  <si>
    <t>11A1, 11A2, 11A5, 11A9, 11B4, 11B3, 11B9, 11C4, 11C3, 11C8, 11Q4, 11Q3, 11Q9, 11R3, 11R4, 52D6, 52F6, 52F1, 52F8, 52F2, 52F5, 52F9, 52D1, 52K6, 52K1, 52K8, 52K2, 52K5, 52K9, 52D8, 52D2, 52A6, 52D5, 52D9, 52V6, 52V1, 52V2, 52V5, 52V9, 33, 33S5, 33T9, 10H1, 10H8, 10H2, 10H5, 10H9, 10F1, 10F8, 10F2, 10F5, 10F9, 10K1, 10K8, 10K2, 10K5, 10K9, 10M1, 10M2, 10M5, 10M9, 10N1, 10N8, 10N2, 10N5, 10N9, 10Q1, 10Q8, 10Q2, 10Y5, 10Q5, 10Q9, 10Y7, 10Y8, 10Y9, 10Y3, 10S1, 10S2, 10S5, 10S9, 10S8, 10P1, 10P8, 10P2, 10P5, 10P9, 10V1, 10V8, 10V2, 10V9, 40V, 40V8, 40V5, 12Z1, 12Z2, 12U1, 12U2, 12U5, 12U9, 12X, 12X1, 12X8, 12X2, 12X5, 12X9, 71S, 10S4, 44L1, 44L2, 44L5, 44P1, 44P8, 44P2, 44P5, 44P9, 44S1, 44S2, 44S9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</si>
</sst>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2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a" refreshedDate="45959.872188657406" createdVersion="8" refreshedVersion="8" minRefreshableVersion="3" recordCount="488" xr:uid="{C2D284C4-9222-4110-A482-E88D2581D37D}">
  <cacheSource type="worksheet">
    <worksheetSource ref="A1:D489" sheet="Data"/>
  </cacheSource>
  <cacheFields count="4">
    <cacheField name="RADIO_CODE" numFmtId="0">
      <sharedItems/>
    </cacheField>
    <cacheField name="TYP_DESC" numFmtId="0">
      <sharedItems/>
    </cacheField>
    <cacheField name="Count" numFmtId="0">
      <sharedItems containsSemiMixedTypes="0" containsString="0" containsNumber="1" containsInteger="1" minValue="1" maxValue="709293"/>
    </cacheField>
    <cacheField name="Category" numFmtId="0">
      <sharedItems count="75">
        <s v="10-53 NO RMP REQUIRED"/>
        <s v="311 REFERRAL"/>
        <s v="ALARMS"/>
        <s v="ALL OUT DIRECTED"/>
        <s v="AMBULANCE CASE"/>
        <s v="ASSAULT "/>
        <s v="ASSIST AMB"/>
        <s v="ASSIST POLICE OFFICER"/>
        <s v="BROADCAST"/>
        <s v="BURGLARY "/>
        <s v="BUS INVESTIGATION"/>
        <s v="BUS INVESTIGATION/TRANSIT"/>
        <s v="CELLULAR OPEN LINE"/>
        <s v="COMMUNITY EVENT"/>
        <s v="COMMUNITY TIME"/>
        <s v="DEPARTMENTAL TOW - PCT USE ONLY"/>
        <s v="DISABLED VEHICLE"/>
        <s v="DISORDERLY"/>
        <s v="DISPUTE"/>
        <s v="EMS REQ ASSIST/INSIDE"/>
        <s v="EMS REQ ASSIST/LTD ACC HWY"/>
        <s v="EMS REQ ASSIST/OUTSIDE"/>
        <s v="EXPLOSIVE DEVICE OR THREAT"/>
        <s v="FIRE"/>
        <s v="HANG UP"/>
        <s v="HAZ MAT"/>
        <s v="HOUSE OF WORSHIP VISIT"/>
        <s v="IAB"/>
        <s v="INVESTIGATE/POSSIBLE CRIME"/>
        <s v="LARCENY "/>
        <s v="OTHER"/>
        <s v="OTHER CRIMES "/>
        <s v="OTHER NON-CRIME INCIDENT "/>
        <s v="OTHER NON-CRIME INCIDENT"/>
        <s v="OTHER-CRIME INCIDENT"/>
        <s v="PANIC ALARM"/>
        <s v="PO/SECURITY HOLDING SUSPECT"/>
        <s v="ROBBERY "/>
        <s v="ROTATIONAL TOW"/>
        <s v="ROVING BAND"/>
        <s v="SEE COMPLAINANT"/>
        <s v="SEX OFFENDER HA ADDRESS VERIFY"/>
        <s v="SHOT SPOTTER"/>
        <s v="SPANISH TRANSFER"/>
        <s v="STATION INSPECTION BY TRANSIT BUREAU PERSONNEL"/>
        <s v="SUSP LETTER"/>
        <s v="SUSP PACKAGE"/>
        <s v="SUSP SUBSTANCE"/>
        <s v="TEXT OTHER"/>
        <s v="TRAFFIC SAFETY"/>
        <s v="TRAFFIC/PARKING COND"/>
        <s v="TRAIN ORDER MAINTENANCE SWEEP "/>
        <s v="TRAIN RUN/MOBILE ORDER MAINTENANCE SWEEP"/>
        <s v="TRANSIT PATROL/INSPECTION BY NON-TRANSIT BUREAU PERSONNEL"/>
        <s v="UNUSUAL INCIDENT"/>
        <s v="USPS BIOHAZARD DETECTION SYSTEM"/>
        <s v="UTILITY TROUBLE "/>
        <s v="VEHICLE ACCIDENT"/>
        <s v="VERIFY AMB NEEDED"/>
        <s v="VISIBILITY PATROL"/>
        <s v="WRONG NUMBER"/>
        <s v="YOUTH HOME VISIT"/>
        <s v="ASSAULT (IN PROGRESS)" u="1"/>
        <s v="ASSAULT (PAST)" u="1"/>
        <s v="BURGLARY (IN PROGRESS)" u="1"/>
        <s v="BURGLARY (PAST)" u="1"/>
        <s v="LARCENY (IN PROGRESS)" u="1"/>
        <s v="LARCENY (PAST)" u="1"/>
        <s v="OTHER CRIMES (IN PROGRESS)" u="1"/>
        <s v="OTHER CRIMES (PAST)" u="1"/>
        <s v="OTHER NON-CRIME INCIDENT (SPECIFY)" u="1"/>
        <s v="ROBBERY (IN PROGRESS)" u="1"/>
        <s v="ROBBERY (PAST)" u="1"/>
        <s v="TRAIN ORDER MAINTENANCE SWEEP (TOMS)" u="1"/>
        <s v="UTILITY TROUBLE (SPECIFY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">
  <r>
    <s v="012"/>
    <s v="10-53 NO RMP REQUIRED"/>
    <n v="122"/>
    <x v="0"/>
  </r>
  <r>
    <s v="002"/>
    <s v="311 REFERRAL"/>
    <n v="17"/>
    <x v="1"/>
  </r>
  <r>
    <s v="11A1"/>
    <s v="ALARMS: AUDIBLE/INSIDE"/>
    <n v="730"/>
    <x v="2"/>
  </r>
  <r>
    <s v="11A2"/>
    <s v="ALARMS: AUDIBLE/OUTSIDE"/>
    <n v="3255"/>
    <x v="2"/>
  </r>
  <r>
    <s v="11A5"/>
    <s v="ALARMS: AUDIBLE/SCHOOL"/>
    <n v="198"/>
    <x v="2"/>
  </r>
  <r>
    <s v="11A9"/>
    <s v="ALARMS: AUDIBLE/TRANSIT"/>
    <n v="2234"/>
    <x v="2"/>
  </r>
  <r>
    <s v="11B4"/>
    <s v="ALARMS: BANK/BURGLARY"/>
    <n v="2735"/>
    <x v="2"/>
  </r>
  <r>
    <s v="11B3"/>
    <s v="ALARMS: BANK/HOLDUP"/>
    <n v="1172"/>
    <x v="2"/>
  </r>
  <r>
    <s v="11B9"/>
    <s v="ALARMS: BANK/TRANSIT"/>
    <n v="2"/>
    <x v="2"/>
  </r>
  <r>
    <s v="11C4"/>
    <s v="ALARMS: COMMERCIAL/BURGLARY"/>
    <n v="89704"/>
    <x v="2"/>
  </r>
  <r>
    <s v="11C3"/>
    <s v="ALARMS: COMMERCIAL/HOLDUP"/>
    <n v="8158"/>
    <x v="2"/>
  </r>
  <r>
    <s v="11C8"/>
    <s v="ALARMS: COMMERCIAL/LTD ACC HWY"/>
    <n v="2"/>
    <x v="2"/>
  </r>
  <r>
    <s v="11Q4"/>
    <s v="ALARMS: OTHER/BURGLARY"/>
    <n v="42"/>
    <x v="2"/>
  </r>
  <r>
    <s v="11Q3"/>
    <s v="ALARMS: OTHER/HOLDUP"/>
    <n v="36"/>
    <x v="2"/>
  </r>
  <r>
    <s v="11Q9"/>
    <s v="ALARMS: OTHER/TRANSIT"/>
    <n v="4"/>
    <x v="2"/>
  </r>
  <r>
    <s v="11R3"/>
    <s v="ALARMS: RESIDENTIAL/ HOLDUP"/>
    <n v="1987"/>
    <x v="2"/>
  </r>
  <r>
    <s v="11R4"/>
    <s v="ALARMS: RESIDENTIAL/BURGLARY"/>
    <n v="25938"/>
    <x v="2"/>
  </r>
  <r>
    <s v="75A"/>
    <s v="ALL OUT DIRECTED"/>
    <n v="302"/>
    <x v="3"/>
  </r>
  <r>
    <s v="54B1"/>
    <s v="AMBULANCE CASE: BURN SERIOUS/INSIDE"/>
    <n v="277"/>
    <x v="4"/>
  </r>
  <r>
    <s v="54B2"/>
    <s v="AMBULANCE CASE: BURN SERIOUS/OUTSIDE"/>
    <n v="29"/>
    <x v="4"/>
  </r>
  <r>
    <s v="54B5"/>
    <s v="AMBULANCE CASE: BURN SERIOUS/SCHOOL"/>
    <n v="4"/>
    <x v="4"/>
  </r>
  <r>
    <s v="54B9"/>
    <s v="AMBULANCE CASE: BURN SERIOUS/TRANSIT"/>
    <n v="3"/>
    <x v="4"/>
  </r>
  <r>
    <s v="54C3"/>
    <s v="AMBULANCE CASE: CARDIAC/CPR GIVEN"/>
    <n v="3805"/>
    <x v="4"/>
  </r>
  <r>
    <s v="54C1"/>
    <s v="AMBULANCE CASE: CARDIAC/INSIDE"/>
    <n v="4495"/>
    <x v="4"/>
  </r>
  <r>
    <s v="54C8"/>
    <s v="AMBULANCE CASE: CARDIAC/LTD ACC HWY"/>
    <n v="17"/>
    <x v="4"/>
  </r>
  <r>
    <s v="54C2"/>
    <s v="AMBULANCE CASE: CARDIAC/OUTSIDE"/>
    <n v="874"/>
    <x v="4"/>
  </r>
  <r>
    <s v="54C5"/>
    <s v="AMBULANCE CASE: CARDIAC/SCHOOL"/>
    <n v="62"/>
    <x v="4"/>
  </r>
  <r>
    <s v="54C9"/>
    <s v="AMBULANCE CASE: CARDIAC/TRANSIT"/>
    <n v="808"/>
    <x v="4"/>
  </r>
  <r>
    <s v="54E1"/>
    <s v="AMBULANCE CASE: EDP/INSIDE"/>
    <n v="103939"/>
    <x v="4"/>
  </r>
  <r>
    <s v="54E8"/>
    <s v="AMBULANCE CASE: EDP/LTD ACC HWY"/>
    <n v="1033"/>
    <x v="4"/>
  </r>
  <r>
    <s v="54E2"/>
    <s v="AMBULANCE CASE: EDP/OUTSIDE"/>
    <n v="31849"/>
    <x v="4"/>
  </r>
  <r>
    <s v="54E5"/>
    <s v="AMBULANCE CASE: EDP/SCHOOL"/>
    <n v="2231"/>
    <x v="4"/>
  </r>
  <r>
    <s v="54E9"/>
    <s v="AMBULANCE CASE: EDP/TRANSIT"/>
    <n v="5791"/>
    <x v="4"/>
  </r>
  <r>
    <s v="54H1"/>
    <s v="AMBULANCE CASE: HEAVY BLEEDING/INSIDE"/>
    <n v="1671"/>
    <x v="4"/>
  </r>
  <r>
    <s v="54H8"/>
    <s v="AMBULANCE CASE: HEAVY BLEEDING/LTD ACC HWY"/>
    <n v="4"/>
    <x v="4"/>
  </r>
  <r>
    <s v="54H2"/>
    <s v="AMBULANCE CASE: HEAVY BLEEDING/OUTSIDE"/>
    <n v="624"/>
    <x v="4"/>
  </r>
  <r>
    <s v="54H5"/>
    <s v="AMBULANCE CASE: HEAVY BLEEDING/SCHOOL"/>
    <n v="69"/>
    <x v="4"/>
  </r>
  <r>
    <s v="54H9"/>
    <s v="AMBULANCE CASE: HEAVY BLEEDING/TRANSIT"/>
    <n v="123"/>
    <x v="4"/>
  </r>
  <r>
    <s v="54I1"/>
    <s v="AMBULANCE CASE: INJURY/INSIDE"/>
    <n v="3592"/>
    <x v="4"/>
  </r>
  <r>
    <s v="54I8"/>
    <s v="AMBULANCE CASE: INJURY/LTD ACC HWY"/>
    <n v="41"/>
    <x v="4"/>
  </r>
  <r>
    <s v="54I2"/>
    <s v="AMBULANCE CASE: INJURY/OUTSIDE"/>
    <n v="2895"/>
    <x v="4"/>
  </r>
  <r>
    <s v="54I5"/>
    <s v="AMBULANCE CASE: INJURY/SCHOOL"/>
    <n v="1001"/>
    <x v="4"/>
  </r>
  <r>
    <s v="54I9"/>
    <s v="AMBULANCE CASE: INJURY/TRANSIT"/>
    <n v="2299"/>
    <x v="4"/>
  </r>
  <r>
    <s v="54Q1"/>
    <s v="AMBULANCE CASE: OTHER/INSIDE"/>
    <n v="1515"/>
    <x v="4"/>
  </r>
  <r>
    <s v="54Q8"/>
    <s v="AMBULANCE CASE: OTHER/LTD ACC HWY"/>
    <n v="13"/>
    <x v="4"/>
  </r>
  <r>
    <s v="54Q2"/>
    <s v="AMBULANCE CASE: OTHER/OUTSIDE"/>
    <n v="470"/>
    <x v="4"/>
  </r>
  <r>
    <s v="54Q5"/>
    <s v="AMBULANCE CASE: OTHER/SCHOOL"/>
    <n v="18"/>
    <x v="4"/>
  </r>
  <r>
    <s v="54Q9"/>
    <s v="AMBULANCE CASE: OTHER/TRANSIT"/>
    <n v="1166"/>
    <x v="4"/>
  </r>
  <r>
    <s v="54R1"/>
    <s v="AMBULANCE CASE: RESCUE/INSIDE"/>
    <n v="3216"/>
    <x v="4"/>
  </r>
  <r>
    <s v="54R8"/>
    <s v="AMBULANCE CASE: RESCUE/LTD ACC HWY"/>
    <n v="9"/>
    <x v="4"/>
  </r>
  <r>
    <s v="54R2"/>
    <s v="AMBULANCE CASE: RESCUE/OUTSIDE"/>
    <n v="329"/>
    <x v="4"/>
  </r>
  <r>
    <s v="54R5"/>
    <s v="AMBULANCE CASE: RESCUE/SCHOOL"/>
    <n v="14"/>
    <x v="4"/>
  </r>
  <r>
    <s v="54R9"/>
    <s v="AMBULANCE CASE: RESCUE/TRANSIT"/>
    <n v="968"/>
    <x v="4"/>
  </r>
  <r>
    <s v="55"/>
    <s v="AMBULANCE CASE: RMP NOT REQ"/>
    <n v="37"/>
    <x v="4"/>
  </r>
  <r>
    <s v="54S1"/>
    <s v="AMBULANCE CASE: SERIOUS/INSIDE"/>
    <n v="34734"/>
    <x v="4"/>
  </r>
  <r>
    <s v="54S8"/>
    <s v="AMBULANCE CASE: SERIOUS/LTD ACC HWY"/>
    <n v="135"/>
    <x v="4"/>
  </r>
  <r>
    <s v="54S2"/>
    <s v="AMBULANCE CASE: SERIOUS/OUTSIDE"/>
    <n v="12972"/>
    <x v="4"/>
  </r>
  <r>
    <s v="54S5"/>
    <s v="AMBULANCE CASE: SERIOUS/SCHOOL"/>
    <n v="2277"/>
    <x v="4"/>
  </r>
  <r>
    <s v="54S9"/>
    <s v="AMBULANCE CASE: SERIOUS/TRANSIT"/>
    <n v="20087"/>
    <x v="4"/>
  </r>
  <r>
    <s v="54L1"/>
    <s v="AMBULANCE CASE: SEVERED LIMB/INSIDE"/>
    <n v="129"/>
    <x v="4"/>
  </r>
  <r>
    <s v="54L2"/>
    <s v="AMBULANCE CASE: SEVERED LIMB/OUTSIDE"/>
    <n v="41"/>
    <x v="4"/>
  </r>
  <r>
    <s v="54L5"/>
    <s v="AMBULANCE CASE: SEVERED LIMB/SCHOOL"/>
    <n v="11"/>
    <x v="4"/>
  </r>
  <r>
    <s v="54U1"/>
    <s v="AMBULANCE CASE: UNCONSCIOUS/INSIDE"/>
    <n v="19470"/>
    <x v="4"/>
  </r>
  <r>
    <s v="54U8"/>
    <s v="AMBULANCE CASE: UNCONSCIOUS/LTD ACC HWY"/>
    <n v="156"/>
    <x v="4"/>
  </r>
  <r>
    <s v="54U2"/>
    <s v="AMBULANCE CASE: UNCONSCIOUS/OUTSIDE"/>
    <n v="12416"/>
    <x v="4"/>
  </r>
  <r>
    <s v="54U5"/>
    <s v="AMBULANCE CASE: UNCONSCIOUS/SCHOOL"/>
    <n v="547"/>
    <x v="4"/>
  </r>
  <r>
    <s v="54U9"/>
    <s v="AMBULANCE CASE: UNCONSCIOUS/TRANSIT"/>
    <n v="5408"/>
    <x v="4"/>
  </r>
  <r>
    <s v="54D4"/>
    <s v="AMBULANCE CASE: WATER RESCUE"/>
    <n v="855"/>
    <x v="4"/>
  </r>
  <r>
    <s v="34K7"/>
    <s v="ASSAULT (IN PROGRESS): KNIFE/CHILD ABUSE"/>
    <n v="11"/>
    <x v="5"/>
  </r>
  <r>
    <s v="34K6"/>
    <s v="ASSAULT (IN PROGRESS): KNIFE/FAMILY"/>
    <n v="1499"/>
    <x v="5"/>
  </r>
  <r>
    <s v="34K1"/>
    <s v="ASSAULT (IN PROGRESS): KNIFE/INSIDE"/>
    <n v="2602"/>
    <x v="5"/>
  </r>
  <r>
    <s v="34K8"/>
    <s v="ASSAULT (IN PROGRESS): KNIFE/LTD ACC HWY"/>
    <n v="6"/>
    <x v="5"/>
  </r>
  <r>
    <s v="34K2"/>
    <s v="ASSAULT (IN PROGRESS): KNIFE/OUTSIDE"/>
    <n v="2874"/>
    <x v="5"/>
  </r>
  <r>
    <s v="34K5"/>
    <s v="ASSAULT (IN PROGRESS): KNIFE/SCHOOL"/>
    <n v="46"/>
    <x v="5"/>
  </r>
  <r>
    <s v="34K9"/>
    <s v="ASSAULT (IN PROGRESS): KNIFE/TRANSIT"/>
    <n v="237"/>
    <x v="5"/>
  </r>
  <r>
    <s v="34Q7"/>
    <s v="ASSAULT (IN PROGRESS): OTHER/CHILD ABUSE"/>
    <n v="1364"/>
    <x v="5"/>
  </r>
  <r>
    <s v="34Q6"/>
    <s v="ASSAULT (IN PROGRESS): OTHER/FAMILY"/>
    <n v="25748"/>
    <x v="5"/>
  </r>
  <r>
    <s v="34Q1"/>
    <s v="ASSAULT (IN PROGRESS): OTHER/INSIDE"/>
    <n v="22870"/>
    <x v="5"/>
  </r>
  <r>
    <s v="34Q8"/>
    <s v="ASSAULT (IN PROGRESS): OTHER/LTD ACC HWY"/>
    <n v="120"/>
    <x v="5"/>
  </r>
  <r>
    <s v="34Q2"/>
    <s v="ASSAULT (IN PROGRESS): OTHER/OUTSIDE"/>
    <n v="22224"/>
    <x v="5"/>
  </r>
  <r>
    <s v="34Q5"/>
    <s v="ASSAULT (IN PROGRESS): OTHER/SCHOOL"/>
    <n v="661"/>
    <x v="5"/>
  </r>
  <r>
    <s v="34Q9"/>
    <s v="ASSAULT (IN PROGRESS): OTHER/TRANSIT"/>
    <n v="2244"/>
    <x v="5"/>
  </r>
  <r>
    <s v="34S7"/>
    <s v="ASSAULT (IN PROGRESS): SHOTS/CHILD"/>
    <n v="5"/>
    <x v="5"/>
  </r>
  <r>
    <s v="34S6"/>
    <s v="ASSAULT (IN PROGRESS): SHOTS/FAMILY"/>
    <n v="96"/>
    <x v="5"/>
  </r>
  <r>
    <s v="34S1"/>
    <s v="ASSAULT (IN PROGRESS): SHOTS/INSIDE"/>
    <n v="976"/>
    <x v="5"/>
  </r>
  <r>
    <s v="34S8"/>
    <s v="ASSAULT (IN PROGRESS): SHOTS/LTD ACC HWY"/>
    <n v="4"/>
    <x v="5"/>
  </r>
  <r>
    <s v="34S2"/>
    <s v="ASSAULT (IN PROGRESS): SHOTS/OUTSIDE"/>
    <n v="1398"/>
    <x v="5"/>
  </r>
  <r>
    <s v="34S5"/>
    <s v="ASSAULT (IN PROGRESS): SHOTS/SCHOOL"/>
    <n v="12"/>
    <x v="5"/>
  </r>
  <r>
    <s v="34S9"/>
    <s v="ASSAULT (IN PROGRESS): SHOTS/TRANSIT"/>
    <n v="50"/>
    <x v="5"/>
  </r>
  <r>
    <s v="34W7"/>
    <s v="ASSAULT (IN PROGRESS): WEAPON/CHILD"/>
    <n v="130"/>
    <x v="5"/>
  </r>
  <r>
    <s v="34W6"/>
    <s v="ASSAULT (IN PROGRESS): WEAPON/FAMILY"/>
    <n v="2072"/>
    <x v="5"/>
  </r>
  <r>
    <s v="34W1"/>
    <s v="ASSAULT (IN PROGRESS): WEAPON/INSIDE"/>
    <n v="3236"/>
    <x v="5"/>
  </r>
  <r>
    <s v="34W8"/>
    <s v="ASSAULT (IN PROGRESS): WEAPON/LTD ACC HWY"/>
    <n v="16"/>
    <x v="5"/>
  </r>
  <r>
    <s v="34W2"/>
    <s v="ASSAULT (IN PROGRESS): WEAPON/OUTSIDE"/>
    <n v="3881"/>
    <x v="5"/>
  </r>
  <r>
    <s v="34W5"/>
    <s v="ASSAULT (IN PROGRESS): WEAPON/SCHOOL"/>
    <n v="79"/>
    <x v="5"/>
  </r>
  <r>
    <s v="34W9"/>
    <s v="ASSAULT (IN PROGRESS): WEAPON/TRANSIT"/>
    <n v="201"/>
    <x v="5"/>
  </r>
  <r>
    <s v="24K7"/>
    <s v="ASSAULT (PAST): KNIFE/CHILD ABUSE"/>
    <n v="3"/>
    <x v="5"/>
  </r>
  <r>
    <s v="24K6"/>
    <s v="ASSAULT (PAST): KNIFE/FAMILY"/>
    <n v="145"/>
    <x v="5"/>
  </r>
  <r>
    <s v="24K1"/>
    <s v="ASSAULT (PAST): KNIFE/INSIDE"/>
    <n v="1251"/>
    <x v="5"/>
  </r>
  <r>
    <s v="24K8"/>
    <s v="ASSAULT (PAST): KNIFE/LTD ACC HWY"/>
    <n v="2"/>
    <x v="5"/>
  </r>
  <r>
    <s v="24K2"/>
    <s v="ASSAULT (PAST): KNIFE/OUTSIDE"/>
    <n v="490"/>
    <x v="5"/>
  </r>
  <r>
    <s v="24K5"/>
    <s v="ASSAULT (PAST): KNIFE/SCHOOL"/>
    <n v="18"/>
    <x v="5"/>
  </r>
  <r>
    <s v="24K9"/>
    <s v="ASSAULT (PAST): KNIFE/TRANSIT"/>
    <n v="36"/>
    <x v="5"/>
  </r>
  <r>
    <s v="24Q7"/>
    <s v="ASSAULT (PAST): OTHER/CHILD ABUSE"/>
    <n v="695"/>
    <x v="5"/>
  </r>
  <r>
    <s v="24Q6"/>
    <s v="ASSAULT (PAST): OTHER/FAMILY"/>
    <n v="4191"/>
    <x v="5"/>
  </r>
  <r>
    <s v="24Q1"/>
    <s v="ASSAULT (PAST): OTHER/INSIDE"/>
    <n v="11927"/>
    <x v="5"/>
  </r>
  <r>
    <s v="24Q8"/>
    <s v="ASSAULT (PAST): OTHER/LTD ACC HWY"/>
    <n v="8"/>
    <x v="5"/>
  </r>
  <r>
    <s v="24Q2"/>
    <s v="ASSAULT (PAST): OTHER/OUTSIDE"/>
    <n v="4902"/>
    <x v="5"/>
  </r>
  <r>
    <s v="24Q5"/>
    <s v="ASSAULT (PAST): OTHER/SCHOOL"/>
    <n v="928"/>
    <x v="5"/>
  </r>
  <r>
    <s v="24Q9"/>
    <s v="ASSAULT (PAST): OTHER/TRANSIT"/>
    <n v="800"/>
    <x v="5"/>
  </r>
  <r>
    <s v="24S7"/>
    <s v="ASSAULT (PAST): SHOTS/CHILD ABUSE"/>
    <n v="1"/>
    <x v="5"/>
  </r>
  <r>
    <s v="24S6"/>
    <s v="ASSAULT (PAST): SHOTS/FAMILY"/>
    <n v="5"/>
    <x v="5"/>
  </r>
  <r>
    <s v="24S1"/>
    <s v="ASSAULT (PAST): SHOTS/INSIDE"/>
    <n v="304"/>
    <x v="5"/>
  </r>
  <r>
    <s v="24S2"/>
    <s v="ASSAULT (PAST): SHOTS/OUTSIDE"/>
    <n v="88"/>
    <x v="5"/>
  </r>
  <r>
    <s v="24S5"/>
    <s v="ASSAULT (PAST): SHOTS/SCHOOL"/>
    <n v="4"/>
    <x v="5"/>
  </r>
  <r>
    <s v="24S9"/>
    <s v="ASSAULT (PAST): SHOTS/TRANSIT"/>
    <n v="2"/>
    <x v="5"/>
  </r>
  <r>
    <s v="24W7"/>
    <s v="ASSAULT (PAST): WEAPON/CHILD ABUSE"/>
    <n v="48"/>
    <x v="5"/>
  </r>
  <r>
    <s v="24W6"/>
    <s v="ASSAULT (PAST): WEAPON/FAMILY"/>
    <n v="254"/>
    <x v="5"/>
  </r>
  <r>
    <s v="24W1"/>
    <s v="ASSAULT (PAST): WEAPON/INSIDE"/>
    <n v="1120"/>
    <x v="5"/>
  </r>
  <r>
    <s v="24W8"/>
    <s v="ASSAULT (PAST): WEAPON/LTD ACC HWY"/>
    <n v="2"/>
    <x v="5"/>
  </r>
  <r>
    <s v="24W2"/>
    <s v="ASSAULT (PAST): WEAPON/OUTSIDE"/>
    <n v="607"/>
    <x v="5"/>
  </r>
  <r>
    <s v="24W5"/>
    <s v="ASSAULT (PAST): WEAPON/SCHOOL"/>
    <n v="28"/>
    <x v="5"/>
  </r>
  <r>
    <s v="24W9"/>
    <s v="ASSAULT (PAST): WEAPON/TRANSIT"/>
    <n v="47"/>
    <x v="5"/>
  </r>
  <r>
    <s v="58S"/>
    <s v="ASSIST AMB: CARRY CASE"/>
    <n v="7"/>
    <x v="6"/>
  </r>
  <r>
    <s v="58S8"/>
    <s v="ASSIST AMB: CARRY CASE/ LTD ACC HWY"/>
    <n v="3"/>
    <x v="6"/>
  </r>
  <r>
    <s v="58D"/>
    <s v="ASSIST AMB: DISPUTE"/>
    <n v="92"/>
    <x v="6"/>
  </r>
  <r>
    <s v="13Z1"/>
    <s v="ASSIST POLICE OFFICER: CIV CLOTHES/INSIDE"/>
    <n v="131"/>
    <x v="7"/>
  </r>
  <r>
    <s v="13Z8"/>
    <s v="ASSIST POLICE OFFICER: CIV CLOTHES/LTD ACC HWY"/>
    <n v="11"/>
    <x v="7"/>
  </r>
  <r>
    <s v="13Z2"/>
    <s v="ASSIST POLICE OFFICER: CIV CLOTHES/OUTSIDE"/>
    <n v="170"/>
    <x v="7"/>
  </r>
  <r>
    <s v="13Z9"/>
    <s v="ASSIST POLICE OFFICER: CIV CLOTHES/TRANSIT"/>
    <n v="10"/>
    <x v="7"/>
  </r>
  <r>
    <s v="13U1"/>
    <s v="ASSIST POLICE OFFICER: UNIFORM/INSIDE"/>
    <n v="520"/>
    <x v="7"/>
  </r>
  <r>
    <s v="13U8"/>
    <s v="ASSIST POLICE OFFICER: UNIFORM/LTD ACC HWY"/>
    <n v="40"/>
    <x v="7"/>
  </r>
  <r>
    <s v="13U2"/>
    <s v="ASSIST POLICE OFFICER: UNIFORM/OUTSIDE"/>
    <n v="2527"/>
    <x v="7"/>
  </r>
  <r>
    <s v="13U5"/>
    <s v="ASSIST POLICE OFFICER: UNIFORM/SCHOOL"/>
    <n v="55"/>
    <x v="7"/>
  </r>
  <r>
    <s v="13U9"/>
    <s v="ASSIST POLICE OFFICER: UNIFORM/TRANSIT"/>
    <n v="664"/>
    <x v="7"/>
  </r>
  <r>
    <s v="13X"/>
    <s v="ASSIST POLICE OFFICER: UNKNOWN"/>
    <n v="1024"/>
    <x v="7"/>
  </r>
  <r>
    <s v="13X1"/>
    <s v="ASSIST POLICE OFFICER: UNKNOWN/INSIDE"/>
    <n v="311"/>
    <x v="7"/>
  </r>
  <r>
    <s v="13X8"/>
    <s v="ASSIST POLICE OFFICER: UNKNOWN/LTD ACC HWY"/>
    <n v="15"/>
    <x v="7"/>
  </r>
  <r>
    <s v="13X2"/>
    <s v="ASSIST POLICE OFFICER: UNKNOWN/OUTSIDE"/>
    <n v="828"/>
    <x v="7"/>
  </r>
  <r>
    <s v="13X5"/>
    <s v="ASSIST POLICE OFFICER: UNKNOWN/SCHOOL"/>
    <n v="31"/>
    <x v="7"/>
  </r>
  <r>
    <s v="13X9"/>
    <s v="ASSIST POLICE OFFICER: UNKNOWN/TRANSIT"/>
    <n v="99"/>
    <x v="7"/>
  </r>
  <r>
    <s v="60I"/>
    <s v="BROADCAST: CHASE/PURSUIT"/>
    <n v="1430"/>
    <x v="8"/>
  </r>
  <r>
    <s v="60I8"/>
    <s v="BROADCAST: CHASE/PURSUIT/LTD ACC HWY"/>
    <n v="375"/>
    <x v="8"/>
  </r>
  <r>
    <s v="31C"/>
    <s v="BURGLARY (IN PROGRESS): COMMERCIAL"/>
    <n v="3279"/>
    <x v="9"/>
  </r>
  <r>
    <s v="31C9"/>
    <s v="BURGLARY (IN PROGRESS): COMMERCIAL/TRANSIT"/>
    <n v="4"/>
    <x v="9"/>
  </r>
  <r>
    <s v="31Q"/>
    <s v="BURGLARY (IN PROGRESS): OTHER"/>
    <n v="2187"/>
    <x v="9"/>
  </r>
  <r>
    <s v="31C8"/>
    <s v="BURGLARY (IN PROGRESS): OTHER/LTD ACC HWY"/>
    <n v="1"/>
    <x v="9"/>
  </r>
  <r>
    <s v="31Q8"/>
    <s v="BURGLARY (IN PROGRESS): OTHER/LTD ACC HWY"/>
    <n v="1"/>
    <x v="9"/>
  </r>
  <r>
    <s v="31Q5"/>
    <s v="BURGLARY (IN PROGRESS): OTHER/SCHOOL"/>
    <n v="36"/>
    <x v="9"/>
  </r>
  <r>
    <s v="31Q9"/>
    <s v="BURGLARY (IN PROGRESS): OTHER/TRANSIT"/>
    <n v="5"/>
    <x v="9"/>
  </r>
  <r>
    <s v="31R"/>
    <s v="BURGLARY (IN PROGRESS): RESIDENCE"/>
    <n v="15359"/>
    <x v="9"/>
  </r>
  <r>
    <s v="21C"/>
    <s v="BURGLARY (PAST): COMMERCIAL"/>
    <n v="2957"/>
    <x v="9"/>
  </r>
  <r>
    <s v="21C9"/>
    <s v="BURGLARY (PAST): COMMERCIAL/TRANSIT"/>
    <n v="3"/>
    <x v="9"/>
  </r>
  <r>
    <s v="21Q"/>
    <s v="BURGLARY (PAST): OTHER"/>
    <n v="843"/>
    <x v="9"/>
  </r>
  <r>
    <s v="21Q5"/>
    <s v="BURGLARY (PAST): OTHER/SCHOOL"/>
    <n v="39"/>
    <x v="9"/>
  </r>
  <r>
    <s v="21Q9"/>
    <s v="BURGLARY (PAST): OTHER/TRANSIT"/>
    <n v="10"/>
    <x v="9"/>
  </r>
  <r>
    <s v="21R"/>
    <s v="BURGLARY (PAST): RESIDENCE"/>
    <n v="10315"/>
    <x v="9"/>
  </r>
  <r>
    <s v="75B"/>
    <s v="BUS INVESTIGATION"/>
    <n v="2545"/>
    <x v="10"/>
  </r>
  <r>
    <s v="75B9"/>
    <s v="BUS INVESTIGATION/TRANSIT"/>
    <n v="1"/>
    <x v="11"/>
  </r>
  <r>
    <s v="003"/>
    <s v="CELLULAR OPEN LINE"/>
    <n v="1"/>
    <x v="12"/>
  </r>
  <r>
    <s v="75E"/>
    <s v="COMMUNITY EVENT"/>
    <n v="80"/>
    <x v="13"/>
  </r>
  <r>
    <s v="75C"/>
    <s v="COMMUNITY TIME"/>
    <n v="40263"/>
    <x v="14"/>
  </r>
  <r>
    <s v="DEPTOW"/>
    <s v="DEPARTMENTAL TOW - PCT USE ONLY"/>
    <n v="10"/>
    <x v="15"/>
  </r>
  <r>
    <s v="60H"/>
    <s v="DISABLED VEHICLE"/>
    <n v="8"/>
    <x v="16"/>
  </r>
  <r>
    <s v="60H8"/>
    <s v="DISABLED VEHICLE: LTD ACC HWY"/>
    <n v="31"/>
    <x v="16"/>
  </r>
  <r>
    <s v="50G1"/>
    <s v="DISORDERLY: GROUP/INSIDE"/>
    <n v="14791"/>
    <x v="17"/>
  </r>
  <r>
    <s v="50G8"/>
    <s v="DISORDERLY: GROUP/LTD ACC HWY"/>
    <n v="45"/>
    <x v="17"/>
  </r>
  <r>
    <s v="50G2"/>
    <s v="DISORDERLY: GROUP/OUTSIDE"/>
    <n v="18748"/>
    <x v="17"/>
  </r>
  <r>
    <s v="50G5"/>
    <s v="DISORDERLY: GROUP/SCHOOL"/>
    <n v="104"/>
    <x v="17"/>
  </r>
  <r>
    <s v="50G9"/>
    <s v="DISORDERLY: GROUP/TRANSIT"/>
    <n v="3927"/>
    <x v="17"/>
  </r>
  <r>
    <s v="50N1"/>
    <s v="DISORDERLY: NOISE/INSIDE"/>
    <n v="7"/>
    <x v="17"/>
  </r>
  <r>
    <s v="50N8"/>
    <s v="DISORDERLY: NOISE/LTD ACC HWY"/>
    <n v="1"/>
    <x v="17"/>
  </r>
  <r>
    <s v="50N2"/>
    <s v="DISORDERLY: NOISE/OUTSIDE"/>
    <n v="5"/>
    <x v="17"/>
  </r>
  <r>
    <s v="50N9"/>
    <s v="DISORDERLY: NOISE/TRANSIT"/>
    <n v="2"/>
    <x v="17"/>
  </r>
  <r>
    <s v="50P1"/>
    <s v="DISORDERLY: PERSON/INSIDE"/>
    <n v="44819"/>
    <x v="17"/>
  </r>
  <r>
    <s v="50P8"/>
    <s v="DISORDERLY: PERSON/LTD ACC HWY"/>
    <n v="226"/>
    <x v="17"/>
  </r>
  <r>
    <s v="50P2"/>
    <s v="DISORDERLY: PERSON/OUTSIDE"/>
    <n v="25095"/>
    <x v="17"/>
  </r>
  <r>
    <s v="50P5"/>
    <s v="DISORDERLY: PERSON/SCHOOL"/>
    <n v="233"/>
    <x v="17"/>
  </r>
  <r>
    <s v="50P9"/>
    <s v="DISORDERLY: PERSON/TRANSIT"/>
    <n v="28026"/>
    <x v="17"/>
  </r>
  <r>
    <s v="52D6"/>
    <s v="DISPUTE: FAMILY"/>
    <n v="120064"/>
    <x v="18"/>
  </r>
  <r>
    <s v="52F6"/>
    <s v="DISPUTE: FIREARM/FAMILY"/>
    <n v="1622"/>
    <x v="18"/>
  </r>
  <r>
    <s v="52F1"/>
    <s v="DISPUTE: FIREARM/INSIDE"/>
    <n v="2778"/>
    <x v="18"/>
  </r>
  <r>
    <s v="52F8"/>
    <s v="DISPUTE: FIREARM/LTD ACC HWY"/>
    <n v="41"/>
    <x v="18"/>
  </r>
  <r>
    <s v="52F2"/>
    <s v="DISPUTE: FIREARM/OUTSIDE"/>
    <n v="2788"/>
    <x v="18"/>
  </r>
  <r>
    <s v="52F5"/>
    <s v="DISPUTE: FIREARM/SCHOOL"/>
    <n v="10"/>
    <x v="18"/>
  </r>
  <r>
    <s v="52F9"/>
    <s v="DISPUTE: FIREARM/TRANSIT"/>
    <n v="69"/>
    <x v="18"/>
  </r>
  <r>
    <s v="52D1"/>
    <s v="DISPUTE: INSIDE"/>
    <n v="96533"/>
    <x v="18"/>
  </r>
  <r>
    <s v="52K6"/>
    <s v="DISPUTE: KNIFE/FAMILY"/>
    <n v="5381"/>
    <x v="18"/>
  </r>
  <r>
    <s v="52K1"/>
    <s v="DISPUTE: KNIFE/INSIDE"/>
    <n v="7667"/>
    <x v="18"/>
  </r>
  <r>
    <s v="52K8"/>
    <s v="DISPUTE: KNIFE/LTD ACC HWY"/>
    <n v="26"/>
    <x v="18"/>
  </r>
  <r>
    <s v="52K2"/>
    <s v="DISPUTE: KNIFE/OUTSIDE"/>
    <n v="5295"/>
    <x v="18"/>
  </r>
  <r>
    <s v="52K5"/>
    <s v="DISPUTE: KNIFE/SCHOOL"/>
    <n v="50"/>
    <x v="18"/>
  </r>
  <r>
    <s v="52K9"/>
    <s v="DISPUTE: KNIFE/TRANSIT"/>
    <n v="329"/>
    <x v="18"/>
  </r>
  <r>
    <s v="52D8"/>
    <s v="DISPUTE: LTD ACC HWY"/>
    <n v="322"/>
    <x v="18"/>
  </r>
  <r>
    <s v="52D2"/>
    <s v="DISPUTE: OUTSIDE"/>
    <n v="35653"/>
    <x v="18"/>
  </r>
  <r>
    <s v="52A6"/>
    <s v="DISPUTE: PROJECT AWARE/DOMESTIC VIOLENCE ALARM"/>
    <n v="199"/>
    <x v="18"/>
  </r>
  <r>
    <s v="52D5"/>
    <s v="DISPUTE: SCHOOL"/>
    <n v="694"/>
    <x v="18"/>
  </r>
  <r>
    <s v="52D9"/>
    <s v="DISPUTE: TRANSIT"/>
    <n v="1460"/>
    <x v="18"/>
  </r>
  <r>
    <s v="52V6"/>
    <s v="DISPUTE: VIOL ORDER PROTECT/FAMILY"/>
    <n v="3725"/>
    <x v="18"/>
  </r>
  <r>
    <s v="52V1"/>
    <s v="DISPUTE: VIOL ORDER PROTECT/INSIDE"/>
    <n v="1025"/>
    <x v="18"/>
  </r>
  <r>
    <s v="52V2"/>
    <s v="DISPUTE: VIOL ORDER PROTECT/OUTSIDE"/>
    <n v="207"/>
    <x v="18"/>
  </r>
  <r>
    <s v="52V5"/>
    <s v="DISPUTE: VIOL ORDER PROTECT/SCHOOL"/>
    <n v="6"/>
    <x v="18"/>
  </r>
  <r>
    <s v="52V9"/>
    <s v="DISPUTE: VIOL ORDER PROTECT/TRANSIT"/>
    <n v="5"/>
    <x v="18"/>
  </r>
  <r>
    <s v="68E1"/>
    <s v="EMS REQ ASSIST/INSIDE"/>
    <n v="77"/>
    <x v="19"/>
  </r>
  <r>
    <s v="68E8"/>
    <s v="EMS REQ ASSIST/LTD ACC HWY"/>
    <n v="2"/>
    <x v="20"/>
  </r>
  <r>
    <s v="68E2"/>
    <s v="EMS REQ ASSIST/OUTSIDE"/>
    <n v="49"/>
    <x v="21"/>
  </r>
  <r>
    <s v="33"/>
    <s v="EXPLOSIVE DEVICE OR THREAT: POSSIBLE BOMB"/>
    <n v="1027"/>
    <x v="22"/>
  </r>
  <r>
    <s v="33S5"/>
    <s v="EXPLOSIVE DEVICE OR THREAT: POSSIBLE BOMB/SCHOOL"/>
    <n v="58"/>
    <x v="22"/>
  </r>
  <r>
    <s v="33T9"/>
    <s v="EXPLOSIVE DEVICE OR THREAT: POSSIBLE BOMB/TRANSIT"/>
    <n v="26"/>
    <x v="22"/>
  </r>
  <r>
    <s v="59L"/>
    <s v="FIRE: BLDG UNDER CONSTRUCTION/DEMOLITION"/>
    <n v="24"/>
    <x v="23"/>
  </r>
  <r>
    <s v="59N"/>
    <s v="FIRE: BRUSH"/>
    <n v="334"/>
    <x v="23"/>
  </r>
  <r>
    <s v="59N8"/>
    <s v="FIRE: BRUSH/LTD ACC HWY"/>
    <n v="40"/>
    <x v="23"/>
  </r>
  <r>
    <s v="59G"/>
    <s v="FIRE: CHURCH"/>
    <n v="41"/>
    <x v="23"/>
  </r>
  <r>
    <s v="59C"/>
    <s v="FIRE: COMMERCIAL"/>
    <n v="556"/>
    <x v="23"/>
  </r>
  <r>
    <s v="59E"/>
    <s v="FIRE: EXPLOSION"/>
    <n v="790"/>
    <x v="23"/>
  </r>
  <r>
    <s v="59E8"/>
    <s v="FIRE: EXPLOSION/LTD ACC HWY"/>
    <n v="6"/>
    <x v="23"/>
  </r>
  <r>
    <s v="59E5"/>
    <s v="FIRE: EXPLOSION/SCHOOL"/>
    <n v="2"/>
    <x v="23"/>
  </r>
  <r>
    <s v="59E9"/>
    <s v="FIRE: EXPLOSION/TRANSIT"/>
    <n v="12"/>
    <x v="23"/>
  </r>
  <r>
    <s v="59A"/>
    <s v="FIRE: FACTORY"/>
    <n v="17"/>
    <x v="23"/>
  </r>
  <r>
    <s v="59R4"/>
    <s v="FIRE: FIRE MULTI DWELLING"/>
    <n v="7437"/>
    <x v="23"/>
  </r>
  <r>
    <s v="59U"/>
    <s v="FIRE: FIRE UNKNOWN"/>
    <n v="265"/>
    <x v="23"/>
  </r>
  <r>
    <s v="59H"/>
    <s v="FIRE: HOSPITAL"/>
    <n v="43"/>
    <x v="23"/>
  </r>
  <r>
    <s v="59F"/>
    <s v="FIRE: HOTEL/MOTEL"/>
    <n v="59"/>
    <x v="23"/>
  </r>
  <r>
    <s v="59Q1"/>
    <s v="FIRE: OTHER/INSIDE"/>
    <n v="656"/>
    <x v="23"/>
  </r>
  <r>
    <s v="59Q8"/>
    <s v="FIRE: OTHER/LTD ACC HWY"/>
    <n v="17"/>
    <x v="23"/>
  </r>
  <r>
    <s v="59Q2"/>
    <s v="FIRE: OTHER/OUTSIDE"/>
    <n v="798"/>
    <x v="23"/>
  </r>
  <r>
    <s v="59Q5"/>
    <s v="FIRE: OTHER/SCHOOL"/>
    <n v="54"/>
    <x v="23"/>
  </r>
  <r>
    <s v="59Q9"/>
    <s v="FIRE: OTHER/TRANSIT"/>
    <n v="635"/>
    <x v="23"/>
  </r>
  <r>
    <s v="59W"/>
    <s v="FIRE: OUTSIDE RUBBISH"/>
    <n v="584"/>
    <x v="23"/>
  </r>
  <r>
    <s v="59W8"/>
    <s v="FIRE: OUTSIDE RUBBISH/LTD ACC HWY"/>
    <n v="7"/>
    <x v="23"/>
  </r>
  <r>
    <s v="59K"/>
    <s v="FIRE: PUBLIC/OTHER"/>
    <n v="70"/>
    <x v="23"/>
  </r>
  <r>
    <s v="59R3"/>
    <s v="FIRE: RESIDENCE PRIVATE HOUSE"/>
    <n v="2222"/>
    <x v="23"/>
  </r>
  <r>
    <s v="59I"/>
    <s v="FIRE: SCHOOL"/>
    <n v="173"/>
    <x v="23"/>
  </r>
  <r>
    <s v="59I5"/>
    <s v="FIRE: SCHOOL"/>
    <n v="173"/>
    <x v="23"/>
  </r>
  <r>
    <s v="59B"/>
    <s v="FIRE: STORE"/>
    <n v="138"/>
    <x v="23"/>
  </r>
  <r>
    <s v="59J"/>
    <s v="FIRE: THEATRE/TV STUDIO"/>
    <n v="2"/>
    <x v="23"/>
  </r>
  <r>
    <s v="59T9"/>
    <s v="FIRE: TRAIN OR TRACKS/TRANSIT"/>
    <n v="602"/>
    <x v="23"/>
  </r>
  <r>
    <s v="59M"/>
    <s v="FIRE: VACANT"/>
    <n v="18"/>
    <x v="23"/>
  </r>
  <r>
    <s v="59V"/>
    <s v="FIRE: VEHICLE"/>
    <n v="1111"/>
    <x v="23"/>
  </r>
  <r>
    <s v="59V8"/>
    <s v="FIRE: VEHICLE/LTD ACC HWY"/>
    <n v="289"/>
    <x v="23"/>
  </r>
  <r>
    <s v="001"/>
    <s v="HANG UP"/>
    <n v="3"/>
    <x v="24"/>
  </r>
  <r>
    <s v="44H1"/>
    <s v="HAZ MAT: INSIDE"/>
    <n v="3745"/>
    <x v="25"/>
  </r>
  <r>
    <s v="44H8"/>
    <s v="HAZ MAT: LTD ACC HWY"/>
    <n v="22"/>
    <x v="25"/>
  </r>
  <r>
    <s v="44H2"/>
    <s v="HAZ MAT: OUTSIDE"/>
    <n v="877"/>
    <x v="25"/>
  </r>
  <r>
    <s v="44H5"/>
    <s v="HAZ MAT: SCHOOL"/>
    <n v="32"/>
    <x v="25"/>
  </r>
  <r>
    <s v="44H9"/>
    <s v="HAZ MAT: TRANSIT"/>
    <n v="104"/>
    <x v="25"/>
  </r>
  <r>
    <s v="75H"/>
    <s v="HOUSE OF WORSHIP VISIT"/>
    <n v="65443"/>
    <x v="26"/>
  </r>
  <r>
    <s v="69I"/>
    <s v="IAB"/>
    <n v="28"/>
    <x v="27"/>
  </r>
  <r>
    <s v="10H1"/>
    <s v="INVESTIGATE/POSSIBLE CRIME: CALLS FOR HELP/INSIDE"/>
    <n v="122708"/>
    <x v="28"/>
  </r>
  <r>
    <s v="10H8"/>
    <s v="INVESTIGATE/POSSIBLE CRIME: CALLS FOR HELP/LTD ACC HWY"/>
    <n v="245"/>
    <x v="28"/>
  </r>
  <r>
    <s v="10H2"/>
    <s v="INVESTIGATE/POSSIBLE CRIME: CALLS FOR HELP/OUTSIDE"/>
    <n v="33543"/>
    <x v="28"/>
  </r>
  <r>
    <s v="10H5"/>
    <s v="INVESTIGATE/POSSIBLE CRIME: CALLS FOR HELP/SCHOOL"/>
    <n v="363"/>
    <x v="28"/>
  </r>
  <r>
    <s v="10H9"/>
    <s v="INVESTIGATE/POSSIBLE CRIME: CALLS FOR HELP/TRANSIT"/>
    <n v="965"/>
    <x v="28"/>
  </r>
  <r>
    <s v="10F1"/>
    <s v="INVESTIGATE/POSSIBLE CRIME: FIREARM/INSIDE"/>
    <n v="3549"/>
    <x v="28"/>
  </r>
  <r>
    <s v="10F8"/>
    <s v="INVESTIGATE/POSSIBLE CRIME: FIREARM/LTD ACC HWY"/>
    <n v="157"/>
    <x v="28"/>
  </r>
  <r>
    <s v="10F2"/>
    <s v="INVESTIGATE/POSSIBLE CRIME: FIREARM/OUTSIDE"/>
    <n v="5934"/>
    <x v="28"/>
  </r>
  <r>
    <s v="10F5"/>
    <s v="INVESTIGATE/POSSIBLE CRIME: FIREARM/SCHOOL"/>
    <n v="218"/>
    <x v="28"/>
  </r>
  <r>
    <s v="10F9"/>
    <s v="INVESTIGATE/POSSIBLE CRIME: FIREARM/TRANSIT"/>
    <n v="388"/>
    <x v="28"/>
  </r>
  <r>
    <s v="10K1"/>
    <s v="INVESTIGATE/POSSIBLE CRIME: KNIFE/INSIDE"/>
    <n v="2456"/>
    <x v="28"/>
  </r>
  <r>
    <s v="10K8"/>
    <s v="INVESTIGATE/POSSIBLE CRIME: KNIFE/LTD ACC HWY"/>
    <n v="24"/>
    <x v="28"/>
  </r>
  <r>
    <s v="10K2"/>
    <s v="INVESTIGATE/POSSIBLE CRIME: KNIFE/OUTSIDE"/>
    <n v="4165"/>
    <x v="28"/>
  </r>
  <r>
    <s v="10K5"/>
    <s v="INVESTIGATE/POSSIBLE CRIME: KNIFE/SCHOOL"/>
    <n v="154"/>
    <x v="28"/>
  </r>
  <r>
    <s v="10K9"/>
    <s v="INVESTIGATE/POSSIBLE CRIME: KNIFE/TRANSIT"/>
    <n v="1043"/>
    <x v="28"/>
  </r>
  <r>
    <s v="10M1"/>
    <s v="INVESTIGATE/POSSIBLE CRIME: MARIJUANA/INSIDE"/>
    <n v="3774"/>
    <x v="28"/>
  </r>
  <r>
    <s v="10M2"/>
    <s v="INVESTIGATE/POSSIBLE CRIME: MARIJUANA/OUTSIDE"/>
    <n v="1123"/>
    <x v="28"/>
  </r>
  <r>
    <s v="10M5"/>
    <s v="INVESTIGATE/POSSIBLE CRIME: MARIJUANA/SCHOOL"/>
    <n v="23"/>
    <x v="28"/>
  </r>
  <r>
    <s v="10M9"/>
    <s v="INVESTIGATE/POSSIBLE CRIME: MARIJUANA/TRANSIT"/>
    <n v="180"/>
    <x v="28"/>
  </r>
  <r>
    <s v="10N1"/>
    <s v="INVESTIGATE/POSSIBLE CRIME: NARCO SALES/INSIDE"/>
    <n v="4155"/>
    <x v="28"/>
  </r>
  <r>
    <s v="10N8"/>
    <s v="INVESTIGATE/POSSIBLE CRIME: NARCO SALES/LTD ACC HWY"/>
    <n v="2"/>
    <x v="28"/>
  </r>
  <r>
    <s v="10N2"/>
    <s v="INVESTIGATE/POSSIBLE CRIME: NARCO SALES/OUTSIDE"/>
    <n v="5543"/>
    <x v="28"/>
  </r>
  <r>
    <s v="10N5"/>
    <s v="INVESTIGATE/POSSIBLE CRIME: NARCO SALES/SCHOOL"/>
    <n v="20"/>
    <x v="28"/>
  </r>
  <r>
    <s v="10N9"/>
    <s v="INVESTIGATE/POSSIBLE CRIME: NARCO SALES/TRANSIT"/>
    <n v="2716"/>
    <x v="28"/>
  </r>
  <r>
    <s v="10Q1"/>
    <s v="INVESTIGATE/POSSIBLE CRIME: OTHER/INSIDE"/>
    <n v="616"/>
    <x v="28"/>
  </r>
  <r>
    <s v="10Q8"/>
    <s v="INVESTIGATE/POSSIBLE CRIME: OTHER/LTD ACC HWY"/>
    <n v="5"/>
    <x v="28"/>
  </r>
  <r>
    <s v="10Q2"/>
    <s v="INVESTIGATE/POSSIBLE CRIME: OTHER/OUTSIDE"/>
    <n v="1292"/>
    <x v="28"/>
  </r>
  <r>
    <s v="10Y5"/>
    <s v="INVESTIGATE/POSSIBLE CRIME: OTHER/SCHOOL"/>
    <n v="1195"/>
    <x v="28"/>
  </r>
  <r>
    <s v="10Q5"/>
    <s v="INVESTIGATE/POSSIBLE CRIME: OTHER/SCHOOL"/>
    <n v="1195"/>
    <x v="28"/>
  </r>
  <r>
    <s v="10Q9"/>
    <s v="INVESTIGATE/POSSIBLE CRIME: OTHER/TRANSIT"/>
    <n v="14"/>
    <x v="28"/>
  </r>
  <r>
    <s v="10Y7"/>
    <s v="INVESTIGATE/POSSIBLE CRIME: POSSIBLE CHILD ABUSE"/>
    <n v="8754"/>
    <x v="28"/>
  </r>
  <r>
    <s v="10Y8"/>
    <s v="INVESTIGATE/POSSIBLE CRIME: SERIOUS OTHER/LTD ACC HWY"/>
    <n v="8851"/>
    <x v="28"/>
  </r>
  <r>
    <s v="10Y9"/>
    <s v="INVESTIGATE/POSSIBLE CRIME: SERIOUS OTHER/TRANSIT"/>
    <n v="8672"/>
    <x v="28"/>
  </r>
  <r>
    <s v="10Y3"/>
    <s v="INVESTIGATE/POSSIBLE CRIME: SERIOUS/OTHER"/>
    <n v="105722"/>
    <x v="28"/>
  </r>
  <r>
    <s v="10S1"/>
    <s v="INVESTIGATE/POSSIBLE CRIME: SHOTS FIRED/INSIDE"/>
    <n v="1728"/>
    <x v="28"/>
  </r>
  <r>
    <s v="10S2"/>
    <s v="INVESTIGATE/POSSIBLE CRIME: SHOTS FIRED/OUTSIDE"/>
    <n v="4671"/>
    <x v="28"/>
  </r>
  <r>
    <s v="10S5"/>
    <s v="INVESTIGATE/POSSIBLE CRIME: SHOTS FIRED/SCHOOL"/>
    <n v="55"/>
    <x v="28"/>
  </r>
  <r>
    <s v="10S9"/>
    <s v="INVESTIGATE/POSSIBLE CRIME: SHOTS FIRED/TRANSIT"/>
    <n v="55"/>
    <x v="28"/>
  </r>
  <r>
    <s v="10S8"/>
    <s v="INVESTIGATE/POSSIBLE CRIME: SHOTS/LTD ACC HWY"/>
    <n v="39"/>
    <x v="28"/>
  </r>
  <r>
    <s v="10P1"/>
    <s v="INVESTIGATE/POSSIBLE CRIME: SUSP PERSON/INSIDE (PROWLER)"/>
    <n v="10134"/>
    <x v="28"/>
  </r>
  <r>
    <s v="10P8"/>
    <s v="INVESTIGATE/POSSIBLE CRIME: SUSP PERSON/LTD ACC HWY"/>
    <n v="160"/>
    <x v="28"/>
  </r>
  <r>
    <s v="10P2"/>
    <s v="INVESTIGATE/POSSIBLE CRIME: SUSP PERSON/OUTSIDE (PROWLER)"/>
    <n v="83587"/>
    <x v="28"/>
  </r>
  <r>
    <s v="10P5"/>
    <s v="INVESTIGATE/POSSIBLE CRIME: SUSP PERSON/SCHOOL (PROWLER)"/>
    <n v="176"/>
    <x v="28"/>
  </r>
  <r>
    <s v="10P9"/>
    <s v="INVESTIGATE/POSSIBLE CRIME: SUSP PERSON/TRANSIT"/>
    <n v="58181"/>
    <x v="28"/>
  </r>
  <r>
    <s v="10V1"/>
    <s v="INVESTIGATE/POSSIBLE CRIME: SUSP VEHICLE/INSIDE"/>
    <n v="719"/>
    <x v="28"/>
  </r>
  <r>
    <s v="10V8"/>
    <s v="INVESTIGATE/POSSIBLE CRIME: SUSP VEHICLE/LTD ACC HWY"/>
    <n v="3140"/>
    <x v="28"/>
  </r>
  <r>
    <s v="10V2"/>
    <s v="INVESTIGATE/POSSIBLE CRIME: SUSP VEHICLE/OUTSIDE"/>
    <n v="184374"/>
    <x v="28"/>
  </r>
  <r>
    <s v="10V9"/>
    <s v="INVESTIGATE/POSSIBLE CRIME: SUSP VEHICLE/TRANSIT"/>
    <n v="7"/>
    <x v="28"/>
  </r>
  <r>
    <s v="32P1"/>
    <s v="LARCENY (IN PROGRESS): FROM PERSON/INSIDE"/>
    <n v="882"/>
    <x v="29"/>
  </r>
  <r>
    <s v="32P8"/>
    <s v="LARCENY (IN PROGRESS): FROM PERSON/LTD ACC HWY"/>
    <n v="2"/>
    <x v="29"/>
  </r>
  <r>
    <s v="32P2"/>
    <s v="LARCENY (IN PROGRESS): FROM PERSON/OUTSIDE"/>
    <n v="1566"/>
    <x v="29"/>
  </r>
  <r>
    <s v="32P5"/>
    <s v="LARCENY (IN PROGRESS): FROM PERSON/SCHOOL"/>
    <n v="5"/>
    <x v="29"/>
  </r>
  <r>
    <s v="32P9"/>
    <s v="LARCENY (IN PROGRESS): FROM PERSON/TRANSIT"/>
    <n v="182"/>
    <x v="29"/>
  </r>
  <r>
    <s v="32Q1"/>
    <s v="LARCENY (IN PROGRESS): OTHER/INSIDE"/>
    <n v="54080"/>
    <x v="29"/>
  </r>
  <r>
    <s v="32Q8"/>
    <s v="LARCENY (IN PROGRESS): OTHER/LTD ACC HWY"/>
    <n v="9"/>
    <x v="29"/>
  </r>
  <r>
    <s v="32Q2"/>
    <s v="LARCENY (IN PROGRESS): OTHER/OUTSIDE"/>
    <n v="14741"/>
    <x v="29"/>
  </r>
  <r>
    <s v="32Q5"/>
    <s v="LARCENY (IN PROGRESS): OTHER/SCHOOL"/>
    <n v="33"/>
    <x v="29"/>
  </r>
  <r>
    <s v="32Q9"/>
    <s v="LARCENY (IN PROGRESS): OTHER/TRANSIT"/>
    <n v="396"/>
    <x v="29"/>
  </r>
  <r>
    <s v="32V1"/>
    <s v="LARCENY (IN PROGRESS): VEHICLE/INSIDE"/>
    <n v="355"/>
    <x v="29"/>
  </r>
  <r>
    <s v="32V8"/>
    <s v="LARCENY (IN PROGRESS): VEHICLE/LTD ACC HWY"/>
    <n v="29"/>
    <x v="29"/>
  </r>
  <r>
    <s v="32V2"/>
    <s v="LARCENY (IN PROGRESS): VEHICLE/OUTSIDE"/>
    <n v="4198"/>
    <x v="29"/>
  </r>
  <r>
    <s v="32V9"/>
    <s v="LARCENY (IN PROGRESS): VEHICLE/TRANSIT"/>
    <n v="1"/>
    <x v="29"/>
  </r>
  <r>
    <s v="22P1"/>
    <s v="LARCENY (PAST): FROM PERSON/INSIDE"/>
    <n v="1619"/>
    <x v="29"/>
  </r>
  <r>
    <s v="22P8"/>
    <s v="LARCENY (PAST): FROM PERSON/LTD ACC HWY"/>
    <n v="1"/>
    <x v="29"/>
  </r>
  <r>
    <s v="22P2"/>
    <s v="LARCENY (PAST): FROM PERSON/OUTSIDE"/>
    <n v="1344"/>
    <x v="29"/>
  </r>
  <r>
    <s v="22P5"/>
    <s v="LARCENY (PAST): FROM PERSON/SCHOOL"/>
    <n v="12"/>
    <x v="29"/>
  </r>
  <r>
    <s v="22P9"/>
    <s v="LARCENY (PAST): FROM PERSON/TRANSIT"/>
    <n v="219"/>
    <x v="29"/>
  </r>
  <r>
    <s v="22Q1"/>
    <s v="LARCENY (PAST): OTHER/INSIDE"/>
    <n v="53135"/>
    <x v="29"/>
  </r>
  <r>
    <s v="22Q8"/>
    <s v="LARCENY (PAST): OTHER/LTD ACC HWY"/>
    <n v="16"/>
    <x v="29"/>
  </r>
  <r>
    <s v="22Q2"/>
    <s v="LARCENY (PAST): OTHER/OUTSIDE"/>
    <n v="36965"/>
    <x v="29"/>
  </r>
  <r>
    <s v="22Q5"/>
    <s v="LARCENY (PAST): OTHER/SCHOOL"/>
    <n v="282"/>
    <x v="29"/>
  </r>
  <r>
    <s v="22Q9"/>
    <s v="LARCENY (PAST): OTHER/TRANSIT"/>
    <n v="971"/>
    <x v="29"/>
  </r>
  <r>
    <s v="22V1"/>
    <s v="LARCENY (PAST): VEHICLE/INSIDE"/>
    <n v="6181"/>
    <x v="29"/>
  </r>
  <r>
    <s v="22V8"/>
    <s v="LARCENY (PAST): VEHICLE/LTD ACC HWY"/>
    <n v="22"/>
    <x v="29"/>
  </r>
  <r>
    <s v="22V2"/>
    <s v="LARCENY (PAST): VEHICLE/OUTSIDE"/>
    <n v="27704"/>
    <x v="29"/>
  </r>
  <r>
    <s v="22V5"/>
    <s v="LARCENY (PAST): VEHICLE/SCHOOL"/>
    <n v="7"/>
    <x v="29"/>
  </r>
  <r>
    <s v="22V9"/>
    <s v="LARCENY (PAST): VEHICLE/TRANSIT"/>
    <n v="3"/>
    <x v="29"/>
  </r>
  <r>
    <s v="008"/>
    <s v="OTHER"/>
    <n v="49"/>
    <x v="30"/>
  </r>
  <r>
    <s v="39C1"/>
    <s v="OTHER CRIMES (IN PROGRESS): CRIM MISCHIEF/INSIDE"/>
    <n v="7258"/>
    <x v="31"/>
  </r>
  <r>
    <s v="39C8"/>
    <s v="OTHER CRIMES (IN PROGRESS): CRIM MISCHIEF/LTD ACC HWY"/>
    <n v="47"/>
    <x v="31"/>
  </r>
  <r>
    <s v="39C2"/>
    <s v="OTHER CRIMES (IN PROGRESS): CRIM MISCHIEF/OUTSIDE"/>
    <n v="6698"/>
    <x v="31"/>
  </r>
  <r>
    <s v="39C5"/>
    <s v="OTHER CRIMES (IN PROGRESS): CRIM MISCHIEF/SCHOOL"/>
    <n v="23"/>
    <x v="31"/>
  </r>
  <r>
    <s v="39C9"/>
    <s v="OTHER CRIMES (IN PROGRESS): CRIM MISCHIEF/TRANSIT"/>
    <n v="481"/>
    <x v="31"/>
  </r>
  <r>
    <s v="39P6"/>
    <s v="OTHER CRIMES (IN PROGRESS): DOMESTIC PANIC ALARM ATS"/>
    <n v="479"/>
    <x v="31"/>
  </r>
  <r>
    <s v="39G8"/>
    <s v="OTHER CRIMES (IN PROGRESS): GRAFF VANDALISM/LTD ACC HWY"/>
    <n v="6"/>
    <x v="31"/>
  </r>
  <r>
    <s v="39G9"/>
    <s v="OTHER CRIMES (IN PROGRESS): GRAFF VANDALISM/TRANSIT"/>
    <n v="106"/>
    <x v="31"/>
  </r>
  <r>
    <s v="39G"/>
    <s v="OTHER CRIMES (IN PROGRESS): GRAFFITI VANDALISM"/>
    <n v="1146"/>
    <x v="31"/>
  </r>
  <r>
    <s v="39H1"/>
    <s v="OTHER CRIMES (IN PROGRESS): HARASSMENT/INSIDE"/>
    <n v="77629"/>
    <x v="31"/>
  </r>
  <r>
    <s v="39H8"/>
    <s v="OTHER CRIMES (IN PROGRESS): HARASSMENT/LTD ACC HWY"/>
    <n v="252"/>
    <x v="31"/>
  </r>
  <r>
    <s v="39H2"/>
    <s v="OTHER CRIMES (IN PROGRESS): HARASSMENT/OUTSIDE"/>
    <n v="48709"/>
    <x v="31"/>
  </r>
  <r>
    <s v="39H5"/>
    <s v="OTHER CRIMES (IN PROGRESS): HARASSMENT/SCHOOL"/>
    <n v="1310"/>
    <x v="31"/>
  </r>
  <r>
    <s v="39H9"/>
    <s v="OTHER CRIMES (IN PROGRESS): HARASSMENT/TRANSIT"/>
    <n v="6528"/>
    <x v="31"/>
  </r>
  <r>
    <s v="39Q1"/>
    <s v="OTHER CRIMES (IN PROGRESS): OTHER/INSIDE"/>
    <n v="9824"/>
    <x v="31"/>
  </r>
  <r>
    <s v="39Q8"/>
    <s v="OTHER CRIMES (IN PROGRESS): OTHER/LTD ACC HWY"/>
    <n v="30"/>
    <x v="31"/>
  </r>
  <r>
    <s v="39Q2"/>
    <s v="OTHER CRIMES (IN PROGRESS): OTHER/OUTSIDE"/>
    <n v="4335"/>
    <x v="31"/>
  </r>
  <r>
    <s v="39Q5"/>
    <s v="OTHER CRIMES (IN PROGRESS): OTHER/SCHOOL"/>
    <n v="42"/>
    <x v="31"/>
  </r>
  <r>
    <s v="39Q9"/>
    <s v="OTHER CRIMES (IN PROGRESS): OTHER/TRANSIT"/>
    <n v="28039"/>
    <x v="31"/>
  </r>
  <r>
    <s v="39P"/>
    <s v="OTHER CRIMES (IN PROGRESS): PANIC ALARM ATS"/>
    <n v="103"/>
    <x v="31"/>
  </r>
  <r>
    <s v="39T1"/>
    <s v="OTHER CRIMES (IN PROGRESS): TRESPASS/INSIDE"/>
    <n v="23629"/>
    <x v="31"/>
  </r>
  <r>
    <s v="39T8"/>
    <s v="OTHER CRIMES (IN PROGRESS): TRESPASS/LTD ACC HWY"/>
    <n v="1"/>
    <x v="31"/>
  </r>
  <r>
    <s v="39T2"/>
    <s v="OTHER CRIMES (IN PROGRESS): TRESPASS/OUTSIDE"/>
    <n v="4199"/>
    <x v="31"/>
  </r>
  <r>
    <s v="39T5"/>
    <s v="OTHER CRIMES (IN PROGRESS): TRESPASS/SCHOOL"/>
    <n v="127"/>
    <x v="31"/>
  </r>
  <r>
    <s v="39T9"/>
    <s v="OTHER CRIMES (IN PROGRESS): TRESPASS/TRANSIT"/>
    <n v="171"/>
    <x v="31"/>
  </r>
  <r>
    <s v="39V6"/>
    <s v="OTHER CRIMES (IN PROGRESS): VIOL ORDER PROTECT/FAMILY"/>
    <n v="9508"/>
    <x v="31"/>
  </r>
  <r>
    <s v="39V1"/>
    <s v="OTHER CRIMES (IN PROGRESS): VIOL ORDER PROTECT/INSIDE"/>
    <n v="3683"/>
    <x v="31"/>
  </r>
  <r>
    <s v="39V8"/>
    <s v="OTHER CRIMES (IN PROGRESS): VIOL ORDER PROTECT/LTD ACC HWY"/>
    <n v="3"/>
    <x v="31"/>
  </r>
  <r>
    <s v="39V2"/>
    <s v="OTHER CRIMES (IN PROGRESS): VIOL ORDER PROTECT/OUTSIDE"/>
    <n v="1149"/>
    <x v="31"/>
  </r>
  <r>
    <s v="39V5"/>
    <s v="OTHER CRIMES (IN PROGRESS): VIOL ORDER PROTECT/SCHOOL"/>
    <n v="40"/>
    <x v="31"/>
  </r>
  <r>
    <s v="39V9"/>
    <s v="OTHER CRIMES (IN PROGRESS): VIOL ORDER PROTECT/TRANSIT"/>
    <n v="16"/>
    <x v="31"/>
  </r>
  <r>
    <s v="29C8"/>
    <s v="OTHER CRIMES (PAST): CRIM MISCHIEF/LTD ACC HWY"/>
    <n v="14"/>
    <x v="31"/>
  </r>
  <r>
    <s v="29C9"/>
    <s v="OTHER CRIMES (PAST): CRIM MISCHIEF/TRANSIT"/>
    <n v="325"/>
    <x v="31"/>
  </r>
  <r>
    <s v="29C"/>
    <s v="OTHER CRIMES (PAST): CRIMINAL MISCHIEF"/>
    <n v="17255"/>
    <x v="31"/>
  </r>
  <r>
    <s v="29B9"/>
    <s v="OTHER CRIMES (PAST): FAREBEAT/TRESPASS"/>
    <n v="239"/>
    <x v="31"/>
  </r>
  <r>
    <s v="29H1"/>
    <s v="OTHER CRIMES (PAST): HARASSMENT/INSIDE"/>
    <n v="21980"/>
    <x v="31"/>
  </r>
  <r>
    <s v="29H8"/>
    <s v="OTHER CRIMES (PAST): HARASSMENT/LTD ACC HWY"/>
    <n v="5"/>
    <x v="31"/>
  </r>
  <r>
    <s v="29H2"/>
    <s v="OTHER CRIMES (PAST): HARASSMENT/OUTSIDE"/>
    <n v="3650"/>
    <x v="31"/>
  </r>
  <r>
    <s v="29H5"/>
    <s v="OTHER CRIMES (PAST): HARASSMENT/SCHOOL"/>
    <n v="689"/>
    <x v="31"/>
  </r>
  <r>
    <s v="29H9"/>
    <s v="OTHER CRIMES (PAST): HARASSMENT/TRANSIT"/>
    <n v="416"/>
    <x v="31"/>
  </r>
  <r>
    <s v="29Q1"/>
    <s v="OTHER CRIMES (PAST): OTHER/INSIDE"/>
    <n v="9543"/>
    <x v="31"/>
  </r>
  <r>
    <s v="29Q8"/>
    <s v="OTHER CRIMES (PAST): OTHER/LTD ACC HWY"/>
    <n v="2"/>
    <x v="31"/>
  </r>
  <r>
    <s v="29Q2"/>
    <s v="OTHER CRIMES (PAST): OTHER/OUTSIDE"/>
    <n v="1919"/>
    <x v="31"/>
  </r>
  <r>
    <s v="29Q5"/>
    <s v="OTHER CRIMES (PAST): OTHER/SCHOOL"/>
    <n v="55"/>
    <x v="31"/>
  </r>
  <r>
    <s v="29Q9"/>
    <s v="OTHER CRIMES (PAST): OTHER/TRANSIT"/>
    <n v="4532"/>
    <x v="31"/>
  </r>
  <r>
    <s v="29T1"/>
    <s v="OTHER CRIMES (PAST): TRESPASS/INSIDE"/>
    <n v="777"/>
    <x v="31"/>
  </r>
  <r>
    <s v="29T2"/>
    <s v="OTHER CRIMES (PAST): TRESPASS/OUTSIDE"/>
    <n v="122"/>
    <x v="31"/>
  </r>
  <r>
    <s v="29T5"/>
    <s v="OTHER CRIMES (PAST): TRESPASS/SCHOOL"/>
    <n v="5"/>
    <x v="31"/>
  </r>
  <r>
    <s v="29T9"/>
    <s v="OTHER CRIMES (PAST): TRESPASS/TRANSIT"/>
    <n v="12"/>
    <x v="31"/>
  </r>
  <r>
    <s v="69S"/>
    <s v="OTHER NON-CRIME INCIDENT (SPECIFY)"/>
    <n v="1541"/>
    <x v="32"/>
  </r>
  <r>
    <s v="69S8"/>
    <s v="OTHER NON-CRIME INCIDENT (SPECIFY): LTD ACC HWY"/>
    <n v="50"/>
    <x v="32"/>
  </r>
  <r>
    <s v="69S9"/>
    <s v="OTHER NON-CRIME INCIDENT (SPECIFY): TRANSIT"/>
    <n v="296"/>
    <x v="32"/>
  </r>
  <r>
    <s v="69N1"/>
    <s v="OTHER NON-CRIME INCIDENT: NARCO SALE/INSIDE"/>
    <n v="81"/>
    <x v="33"/>
  </r>
  <r>
    <s v="69N2"/>
    <s v="OTHER NON-CRIME INCIDENT: NARCO SALE/OUTSIDE"/>
    <n v="16"/>
    <x v="33"/>
  </r>
  <r>
    <s v="69N9"/>
    <s v="OTHER NON-CRIME INCIDENT: NARCO SALE/TRANSIT"/>
    <n v="1"/>
    <x v="33"/>
  </r>
  <r>
    <s v="69M1"/>
    <s v="OTHER-CRIME INCIDENT: MARIJUANA/INSIDE"/>
    <n v="23"/>
    <x v="34"/>
  </r>
  <r>
    <s v="69M2"/>
    <s v="OTHER-CRIME INCIDENT: MARIJUANA/OUTSIDE"/>
    <n v="4"/>
    <x v="34"/>
  </r>
  <r>
    <s v="69M9"/>
    <s v="OTHER-CRIME INCIDENT: MARIJUANA/TRANSIT"/>
    <n v="1"/>
    <x v="34"/>
  </r>
  <r>
    <s v="40V"/>
    <s v="PANIC ALARM"/>
    <n v="704"/>
    <x v="35"/>
  </r>
  <r>
    <s v="40V8"/>
    <s v="PANIC ALARM: LTD ACC HWY"/>
    <n v="10"/>
    <x v="35"/>
  </r>
  <r>
    <s v="40V5"/>
    <s v="PANIC ALARM: SCHOOL"/>
    <n v="10"/>
    <x v="35"/>
  </r>
  <r>
    <s v="12Z1"/>
    <s v="PO/SECURITY HOLDING SUSPECT: CIV CLOTHES/INSIDE"/>
    <n v="4253"/>
    <x v="36"/>
  </r>
  <r>
    <s v="12Z2"/>
    <s v="PO/SECURITY HOLDING SUSPECT: CIV CLOTHES/OUTSIDE"/>
    <n v="56"/>
    <x v="36"/>
  </r>
  <r>
    <s v="12U1"/>
    <s v="PO/SECURITY HOLDING SUSPECT: UNIFORM/INSIDE"/>
    <n v="2460"/>
    <x v="36"/>
  </r>
  <r>
    <s v="12U2"/>
    <s v="PO/SECURITY HOLDING SUSPECT: UNIFORM/OUTSIDE"/>
    <n v="118"/>
    <x v="36"/>
  </r>
  <r>
    <s v="12U5"/>
    <s v="PO/SECURITY HOLDING SUSPECT: UNIFORM/SCHOOL"/>
    <n v="2"/>
    <x v="36"/>
  </r>
  <r>
    <s v="12U9"/>
    <s v="PO/SECURITY HOLDING SUSPECT: UNIFORM/TRANSIT"/>
    <n v="144"/>
    <x v="36"/>
  </r>
  <r>
    <s v="12X"/>
    <s v="PO/SECURITY HOLDING SUSPECT: UNKNOWN"/>
    <n v="169"/>
    <x v="36"/>
  </r>
  <r>
    <s v="12X1"/>
    <s v="PO/SECURITY HOLDING SUSPECT: UNKNOWN/INSIDE"/>
    <n v="434"/>
    <x v="36"/>
  </r>
  <r>
    <s v="12X8"/>
    <s v="PO/SECURITY HOLDING SUSPECT: UNKNOWN/LTD ACC HWY"/>
    <n v="1"/>
    <x v="36"/>
  </r>
  <r>
    <s v="12X2"/>
    <s v="PO/SECURITY HOLDING SUSPECT: UNKNOWN/OUTSIDE"/>
    <n v="29"/>
    <x v="36"/>
  </r>
  <r>
    <s v="12X5"/>
    <s v="PO/SECURITY HOLDING SUSPECT: UNKNOWN/SCHOOL"/>
    <n v="1"/>
    <x v="36"/>
  </r>
  <r>
    <s v="12X9"/>
    <s v="PO/SECURITY HOLDING SUSPECT: UNKNOWN/TRANSIT"/>
    <n v="2"/>
    <x v="36"/>
  </r>
  <r>
    <s v="30B"/>
    <s v="ROBBERY (IN PROGRESS): BANK"/>
    <n v="113"/>
    <x v="37"/>
  </r>
  <r>
    <s v="30C"/>
    <s v="ROBBERY (IN PROGRESS): COMMERCIAL"/>
    <n v="2074"/>
    <x v="37"/>
  </r>
  <r>
    <s v="30C8"/>
    <s v="ROBBERY (IN PROGRESS): COMMERCIAL/LTD ACC HWY"/>
    <n v="1"/>
    <x v="37"/>
  </r>
  <r>
    <s v="30C9"/>
    <s v="ROBBERY (IN PROGRESS): COMMERCIAL/TRANSIT"/>
    <n v="1"/>
    <x v="37"/>
  </r>
  <r>
    <s v="30Q1"/>
    <s v="ROBBERY (IN PROGRESS): OTHER/INSIDE"/>
    <n v="2800"/>
    <x v="37"/>
  </r>
  <r>
    <s v="30Q8"/>
    <s v="ROBBERY (IN PROGRESS): OTHER/LTD ACC HWY"/>
    <n v="19"/>
    <x v="37"/>
  </r>
  <r>
    <s v="30Q2"/>
    <s v="ROBBERY (IN PROGRESS): OTHER/OUTSIDE"/>
    <n v="6334"/>
    <x v="37"/>
  </r>
  <r>
    <s v="30Q5"/>
    <s v="ROBBERY (IN PROGRESS): OTHER/SCHOOL"/>
    <n v="25"/>
    <x v="37"/>
  </r>
  <r>
    <s v="30Q9"/>
    <s v="ROBBERY (IN PROGRESS): OTHER/TRANSIT"/>
    <n v="537"/>
    <x v="37"/>
  </r>
  <r>
    <s v="30R"/>
    <s v="ROBBERY (IN PROGRESS): RESIDENCE"/>
    <n v="609"/>
    <x v="37"/>
  </r>
  <r>
    <s v="20B"/>
    <s v="ROBBERY (PAST): BANK"/>
    <n v="16"/>
    <x v="37"/>
  </r>
  <r>
    <s v="20C"/>
    <s v="ROBBERY (PAST): COMMERCIAL"/>
    <n v="494"/>
    <x v="37"/>
  </r>
  <r>
    <s v="20Q1"/>
    <s v="ROBBERY (PAST): OTHER/INSIDE"/>
    <n v="3001"/>
    <x v="37"/>
  </r>
  <r>
    <s v="20Q8"/>
    <s v="ROBBERY (PAST): OTHER/LTD ACC HWY"/>
    <n v="5"/>
    <x v="37"/>
  </r>
  <r>
    <s v="20Q2"/>
    <s v="ROBBERY (PAST): OTHER/OUTSIDE"/>
    <n v="3374"/>
    <x v="37"/>
  </r>
  <r>
    <s v="20Q5"/>
    <s v="ROBBERY (PAST): OTHER/SCHOOL"/>
    <n v="101"/>
    <x v="37"/>
  </r>
  <r>
    <s v="20Q9"/>
    <s v="ROBBERY (PAST): OTHER/TRANSIT"/>
    <n v="370"/>
    <x v="37"/>
  </r>
  <r>
    <s v="20R"/>
    <s v="ROBBERY (PAST): RESIDENCE"/>
    <n v="259"/>
    <x v="37"/>
  </r>
  <r>
    <s v="ROTOW"/>
    <s v="ROTATIONAL TOW"/>
    <n v="1"/>
    <x v="38"/>
  </r>
  <r>
    <s v="51"/>
    <s v="ROVING BAND"/>
    <n v="675"/>
    <x v="39"/>
  </r>
  <r>
    <s v="51L8"/>
    <s v="ROVING BAND: LTD ACC HWY"/>
    <n v="49"/>
    <x v="39"/>
  </r>
  <r>
    <s v="68U1"/>
    <s v="SEE COMPLAINANT: 85 - MOS/INSIDE"/>
    <n v="1541"/>
    <x v="40"/>
  </r>
  <r>
    <s v="68U8"/>
    <s v="SEE COMPLAINANT: 85 - MOS/LTD ACC HWY"/>
    <n v="25"/>
    <x v="40"/>
  </r>
  <r>
    <s v="68U2"/>
    <s v="SEE COMPLAINANT: 85 - MOS/OUTSIDE"/>
    <n v="3456"/>
    <x v="40"/>
  </r>
  <r>
    <s v="68U5"/>
    <s v="SEE COMPLAINANT: 85 - MOS/SCHOOL"/>
    <n v="117"/>
    <x v="40"/>
  </r>
  <r>
    <s v="68U9"/>
    <s v="SEE COMPLAINANT: 85 - MOS/TRANSIT"/>
    <n v="415"/>
    <x v="40"/>
  </r>
  <r>
    <s v="68A1"/>
    <s v="SEE COMPLAINANT: ACS WORKER/INSIDE"/>
    <n v="704"/>
    <x v="40"/>
  </r>
  <r>
    <s v="68A2"/>
    <s v="SEE COMPLAINANT: ACS WORKER/OUTSIDE"/>
    <n v="391"/>
    <x v="40"/>
  </r>
  <r>
    <s v="68A5"/>
    <s v="SEE COMPLAINANT: ACS WORKER/SCHOOL"/>
    <n v="7"/>
    <x v="40"/>
  </r>
  <r>
    <s v="68M1"/>
    <s v="SEE COMPLAINANT: ASSIST MARSHALL/INSIDE"/>
    <n v="244"/>
    <x v="40"/>
  </r>
  <r>
    <s v="68M2"/>
    <s v="SEE COMPLAINANT: ASSIST MARSHALL/OUTSIDE"/>
    <n v="47"/>
    <x v="40"/>
  </r>
  <r>
    <s v="68M9"/>
    <s v="SEE COMPLAINANT: ASSIST MARSHALL/TRANSIT"/>
    <n v="2"/>
    <x v="40"/>
  </r>
  <r>
    <s v="68Q1"/>
    <s v="SEE COMPLAINANT: OTHER/INSIDE"/>
    <n v="553651"/>
    <x v="40"/>
  </r>
  <r>
    <s v="68Q8"/>
    <s v="SEE COMPLAINANT: OTHER/LTD ACC HWY"/>
    <n v="319"/>
    <x v="40"/>
  </r>
  <r>
    <s v="68Q2"/>
    <s v="SEE COMPLAINANT: OTHER/OUTSIDE"/>
    <n v="51352"/>
    <x v="40"/>
  </r>
  <r>
    <s v="68Q5"/>
    <s v="SEE COMPLAINANT: OTHER/SCHOOL"/>
    <n v="2148"/>
    <x v="40"/>
  </r>
  <r>
    <s v="68Q9"/>
    <s v="SEE COMPLAINANT: OTHER/TRANSIT"/>
    <n v="17684"/>
    <x v="40"/>
  </r>
  <r>
    <s v="68G2"/>
    <s v="SEE COMPLAINANT: SERVING SUMMONS/OUTSIDE"/>
    <n v="1"/>
    <x v="40"/>
  </r>
  <r>
    <s v="71S"/>
    <s v="SEX OFFENDER HA ADDRESS VERIFY"/>
    <n v="4"/>
    <x v="41"/>
  </r>
  <r>
    <s v="10S4"/>
    <s v="SHOT SPOTTER"/>
    <n v="7134"/>
    <x v="42"/>
  </r>
  <r>
    <s v="004"/>
    <s v="SPANISH TRANSFER"/>
    <n v="1"/>
    <x v="43"/>
  </r>
  <r>
    <s v="75S"/>
    <s v="STATION INSPECTION BY TRANSIT BUREAU PERSONNEL"/>
    <n v="679274"/>
    <x v="44"/>
  </r>
  <r>
    <s v="44L1"/>
    <s v="SUSP LETTER: INSIDE"/>
    <n v="33"/>
    <x v="45"/>
  </r>
  <r>
    <s v="44L2"/>
    <s v="SUSP LETTER: OUTSIDE"/>
    <n v="3"/>
    <x v="45"/>
  </r>
  <r>
    <s v="44L5"/>
    <s v="SUSP LETTER: SCHOOL"/>
    <n v="3"/>
    <x v="45"/>
  </r>
  <r>
    <s v="44P1"/>
    <s v="SUSP PACKAGE: INSIDE"/>
    <n v="315"/>
    <x v="46"/>
  </r>
  <r>
    <s v="44P8"/>
    <s v="SUSP PACKAGE: LTD ACC HWY"/>
    <n v="16"/>
    <x v="46"/>
  </r>
  <r>
    <s v="44P2"/>
    <s v="SUSP PACKAGE: OUTSIDE"/>
    <n v="1352"/>
    <x v="46"/>
  </r>
  <r>
    <s v="44P5"/>
    <s v="SUSP PACKAGE: SCHOOL"/>
    <n v="31"/>
    <x v="46"/>
  </r>
  <r>
    <s v="44P9"/>
    <s v="SUSP PACKAGE: TRANSIT"/>
    <n v="1217"/>
    <x v="46"/>
  </r>
  <r>
    <s v="44S1"/>
    <s v="SUSP SUBSTANCE: INSIDE"/>
    <n v="157"/>
    <x v="47"/>
  </r>
  <r>
    <s v="44S2"/>
    <s v="SUSP SUBSTANCE: OUTSIDE"/>
    <n v="71"/>
    <x v="47"/>
  </r>
  <r>
    <s v="44S9"/>
    <s v="SUSP SUBSTANCE: TRANSIT"/>
    <n v="7"/>
    <x v="47"/>
  </r>
  <r>
    <s v="011"/>
    <s v="TEXT OTHER"/>
    <n v="1"/>
    <x v="48"/>
  </r>
  <r>
    <s v="75Z"/>
    <s v="TRAFFIC SAFETY"/>
    <n v="64885"/>
    <x v="49"/>
  </r>
  <r>
    <s v="67S"/>
    <s v="TRAFFIC/PARKING COND"/>
    <n v="2088"/>
    <x v="50"/>
  </r>
  <r>
    <s v="67S8"/>
    <s v="TRAFFIC/PARKING COND: LTD ACC HWY"/>
    <n v="9037"/>
    <x v="50"/>
  </r>
  <r>
    <s v="75O"/>
    <s v="TRAIN ORDER MAINTENANCE SWEEP (TOMS)"/>
    <n v="115068"/>
    <x v="51"/>
  </r>
  <r>
    <s v="75M"/>
    <s v="TRAIN RUN/MOBILE ORDER MAINTENANCE SWEEP"/>
    <n v="299994"/>
    <x v="52"/>
  </r>
  <r>
    <s v="75T"/>
    <s v="TRANSIT PATROL/INSPECTION BY NON-TRANSIT BUREAU PERSONNEL"/>
    <n v="246288"/>
    <x v="53"/>
  </r>
  <r>
    <s v="66"/>
    <s v="UNUSUAL INCIDENT"/>
    <n v="43"/>
    <x v="54"/>
  </r>
  <r>
    <s v="66T9"/>
    <s v="UNUSUAL INCIDENT: TRANSIT"/>
    <n v="7"/>
    <x v="54"/>
  </r>
  <r>
    <s v="44B"/>
    <s v="USPS BIOHAZARD DETECTION SYSTEM"/>
    <n v="1"/>
    <x v="55"/>
  </r>
  <r>
    <s v="65S"/>
    <s v="UTILITY TROUBLE (SPECIFY)"/>
    <n v="586"/>
    <x v="56"/>
  </r>
  <r>
    <s v="65S8"/>
    <s v="UTILITY TROUBLE (SPECIFY): LTD ACC HWY"/>
    <n v="7"/>
    <x v="56"/>
  </r>
  <r>
    <s v="65S5"/>
    <s v="UTILITY TROUBLE (SPECIFY): SCHOOL"/>
    <n v="8"/>
    <x v="56"/>
  </r>
  <r>
    <s v="65S9"/>
    <s v="UTILITY TROUBLE (SPECIFY): TRANSIT"/>
    <n v="35"/>
    <x v="56"/>
  </r>
  <r>
    <s v="53D"/>
    <s v="VEHICLE ACCIDENT: DISPUTE"/>
    <n v="14377"/>
    <x v="57"/>
  </r>
  <r>
    <s v="53D8"/>
    <s v="VEHICLE ACCIDENT: DISPUTE/LTD ACC HWY"/>
    <n v="1004"/>
    <x v="57"/>
  </r>
  <r>
    <s v="53H"/>
    <s v="VEHICLE ACCIDENT: HIT BY AUTO"/>
    <n v="19755"/>
    <x v="57"/>
  </r>
  <r>
    <s v="53H8"/>
    <s v="VEHICLE ACCIDENT: HIT BY AUTO/LTD ACC HWY"/>
    <n v="141"/>
    <x v="57"/>
  </r>
  <r>
    <s v="53I"/>
    <s v="VEHICLE ACCIDENT: INJURY"/>
    <n v="21555"/>
    <x v="57"/>
  </r>
  <r>
    <s v="53I8"/>
    <s v="VEHICLE ACCIDENT: INJURY/LTD ACC HWY"/>
    <n v="4584"/>
    <x v="57"/>
  </r>
  <r>
    <s v="53X"/>
    <s v="VEHICLE ACCIDENT: PERSON PINNED"/>
    <n v="4503"/>
    <x v="57"/>
  </r>
  <r>
    <s v="53X8"/>
    <s v="VEHICLE ACCIDENT: PERSON PINNED/LTD ACC HWY"/>
    <n v="1261"/>
    <x v="57"/>
  </r>
  <r>
    <s v="53S"/>
    <s v="VEHICLE ACCIDENT: SPECIAL CONDITION"/>
    <n v="80878"/>
    <x v="57"/>
  </r>
  <r>
    <s v="53S8"/>
    <s v="VEHICLE ACCIDENT: SPECIAL CONDITION/LTD ACC HWY"/>
    <n v="10752"/>
    <x v="57"/>
  </r>
  <r>
    <s v="56S"/>
    <s v="VERIFY AMB NEEDED"/>
    <n v="26377"/>
    <x v="58"/>
  </r>
  <r>
    <s v="56S8"/>
    <s v="VERIFY AMB NEEDED: LTD ACC HWY"/>
    <n v="155"/>
    <x v="58"/>
  </r>
  <r>
    <s v="56S9"/>
    <s v="VERIFY AMB NEEDED: TRANSIT"/>
    <n v="23485"/>
    <x v="58"/>
  </r>
  <r>
    <s v="75D"/>
    <s v="VISIBILITY PATROL: DIRECTED"/>
    <n v="709293"/>
    <x v="59"/>
  </r>
  <r>
    <s v="75F"/>
    <s v="VISIBILITY PATROL: FAMILY/HOME VISIT"/>
    <n v="194837"/>
    <x v="59"/>
  </r>
  <r>
    <s v="75I"/>
    <s v="VISIBILITY PATROL: INTERIOR"/>
    <n v="99014"/>
    <x v="59"/>
  </r>
  <r>
    <s v="75L"/>
    <s v="VISIBILITY PATROL: LICENSED PREMISE"/>
    <n v="794"/>
    <x v="59"/>
  </r>
  <r>
    <s v="75W"/>
    <s v="VISIBILITY PATROL: WARRANT CHECK"/>
    <n v="32"/>
    <x v="59"/>
  </r>
  <r>
    <s v="75W9"/>
    <s v="VISIBILITY PATROL: WARRANT CHECK"/>
    <n v="32"/>
    <x v="59"/>
  </r>
  <r>
    <s v="75P"/>
    <s v="VISIBILITY PATROL:PUBLIC/PRIVATE EDUCATIONAL FACILITY"/>
    <n v="46543"/>
    <x v="59"/>
  </r>
  <r>
    <s v="005"/>
    <s v="WRONG NUMBER"/>
    <n v="1"/>
    <x v="60"/>
  </r>
  <r>
    <s v="75Y"/>
    <s v="YOUTH HOME VISIT"/>
    <n v="6559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AF55B-458F-410F-9B9E-432005E87FC4}" name="PivotTable1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5" firstHeaderRow="1" firstDataRow="1" firstDataCol="1"/>
  <pivotFields count="4">
    <pivotField showAll="0"/>
    <pivotField showAll="0"/>
    <pivotField dataField="1" showAll="0"/>
    <pivotField axis="axisRow" showAll="0">
      <items count="76">
        <item x="0"/>
        <item x="1"/>
        <item x="2"/>
        <item x="3"/>
        <item x="4"/>
        <item x="5"/>
        <item m="1" x="62"/>
        <item m="1" x="63"/>
        <item x="6"/>
        <item x="7"/>
        <item x="8"/>
        <item x="9"/>
        <item m="1" x="64"/>
        <item m="1" x="6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66"/>
        <item m="1" x="67"/>
        <item x="30"/>
        <item x="31"/>
        <item m="1" x="68"/>
        <item m="1" x="69"/>
        <item x="33"/>
        <item x="32"/>
        <item m="1" x="70"/>
        <item x="34"/>
        <item x="35"/>
        <item x="36"/>
        <item x="37"/>
        <item m="1" x="71"/>
        <item m="1" x="7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73"/>
        <item x="52"/>
        <item x="53"/>
        <item x="54"/>
        <item x="55"/>
        <item x="56"/>
        <item m="1" x="74"/>
        <item x="57"/>
        <item x="58"/>
        <item x="59"/>
        <item x="60"/>
        <item x="61"/>
        <item t="default"/>
      </items>
    </pivotField>
  </pivotFields>
  <rowFields count="1">
    <field x="3"/>
  </rowFields>
  <rowItems count="63">
    <i>
      <x v="72"/>
    </i>
    <i>
      <x v="55"/>
    </i>
    <i>
      <x v="32"/>
    </i>
    <i>
      <x v="51"/>
    </i>
    <i>
      <x v="64"/>
    </i>
    <i>
      <x v="37"/>
    </i>
    <i>
      <x v="22"/>
    </i>
    <i>
      <x v="4"/>
    </i>
    <i>
      <x v="65"/>
    </i>
    <i>
      <x v="33"/>
    </i>
    <i>
      <x v="70"/>
    </i>
    <i>
      <x v="2"/>
    </i>
    <i>
      <x v="21"/>
    </i>
    <i>
      <x v="5"/>
    </i>
    <i>
      <x v="62"/>
    </i>
    <i>
      <x v="30"/>
    </i>
    <i>
      <x v="60"/>
    </i>
    <i>
      <x v="71"/>
    </i>
    <i>
      <x v="18"/>
    </i>
    <i>
      <x v="11"/>
    </i>
    <i>
      <x v="46"/>
    </i>
    <i>
      <x v="27"/>
    </i>
    <i>
      <x v="61"/>
    </i>
    <i>
      <x v="45"/>
    </i>
    <i>
      <x v="53"/>
    </i>
    <i>
      <x v="74"/>
    </i>
    <i>
      <x v="9"/>
    </i>
    <i>
      <x v="29"/>
    </i>
    <i>
      <x v="57"/>
    </i>
    <i>
      <x v="14"/>
    </i>
    <i>
      <x v="41"/>
    </i>
    <i>
      <x v="10"/>
    </i>
    <i>
      <x v="26"/>
    </i>
    <i>
      <x v="50"/>
    </i>
    <i>
      <x v="44"/>
    </i>
    <i>
      <x v="68"/>
    </i>
    <i>
      <x v="3"/>
    </i>
    <i>
      <x v="58"/>
    </i>
    <i>
      <x/>
    </i>
    <i>
      <x v="8"/>
    </i>
    <i>
      <x v="40"/>
    </i>
    <i>
      <x v="17"/>
    </i>
    <i>
      <x v="23"/>
    </i>
    <i>
      <x v="66"/>
    </i>
    <i>
      <x v="25"/>
    </i>
    <i>
      <x v="36"/>
    </i>
    <i>
      <x v="20"/>
    </i>
    <i>
      <x v="56"/>
    </i>
    <i>
      <x v="43"/>
    </i>
    <i>
      <x v="31"/>
    </i>
    <i>
      <x v="1"/>
    </i>
    <i>
      <x v="19"/>
    </i>
    <i>
      <x v="52"/>
    </i>
    <i>
      <x v="28"/>
    </i>
    <i>
      <x v="24"/>
    </i>
    <i>
      <x v="54"/>
    </i>
    <i>
      <x v="67"/>
    </i>
    <i>
      <x v="59"/>
    </i>
    <i>
      <x v="73"/>
    </i>
    <i>
      <x v="15"/>
    </i>
    <i>
      <x v="49"/>
    </i>
    <i>
      <x v="16"/>
    </i>
    <i t="grand">
      <x/>
    </i>
  </rowItems>
  <colItems count="1">
    <i/>
  </colItems>
  <dataFields count="1">
    <dataField name="Sum of Count" fld="2" baseField="0" baseItem="0"/>
  </dataFields>
  <formats count="28">
    <format dxfId="0">
      <pivotArea dataOnly="0" labelOnly="1" fieldPosition="0">
        <references count="1">
          <reference field="3" count="1">
            <x v="5"/>
          </reference>
        </references>
      </pivotArea>
    </format>
    <format dxfId="1">
      <pivotArea dataOnly="0" labelOnly="1" fieldPosition="0">
        <references count="1">
          <reference field="3" count="1">
            <x v="11"/>
          </reference>
        </references>
      </pivotArea>
    </format>
    <format dxfId="2">
      <pivotArea dataOnly="0" labelOnly="1" fieldPosition="0">
        <references count="1">
          <reference field="3" count="1">
            <x v="46"/>
          </reference>
        </references>
      </pivotArea>
    </format>
    <format dxfId="3">
      <pivotArea dataOnly="0" labelOnly="1" fieldPosition="0">
        <references count="1">
          <reference field="3" count="1">
            <x v="21"/>
          </reference>
        </references>
      </pivotArea>
    </format>
    <format dxfId="4">
      <pivotArea dataOnly="0" labelOnly="1" fieldPosition="0">
        <references count="1">
          <reference field="3" count="1">
            <x v="33"/>
          </reference>
        </references>
      </pivotArea>
    </format>
    <format dxfId="5">
      <pivotArea dataOnly="0" labelOnly="1" fieldPosition="0">
        <references count="1">
          <reference field="3" count="1">
            <x v="37"/>
          </reference>
        </references>
      </pivotArea>
    </format>
    <format dxfId="6">
      <pivotArea dataOnly="0" labelOnly="1" fieldPosition="0">
        <references count="1">
          <reference field="3" count="1">
            <x v="45"/>
          </reference>
        </references>
      </pivotArea>
    </format>
    <format dxfId="7">
      <pivotArea dataOnly="0" labelOnly="1" fieldPosition="0">
        <references count="1">
          <reference field="3" count="1">
            <x v="43"/>
          </reference>
        </references>
      </pivotArea>
    </format>
    <format dxfId="8">
      <pivotArea dataOnly="0" labelOnly="1" fieldPosition="0">
        <references count="1">
          <reference field="3" count="1">
            <x v="32"/>
          </reference>
        </references>
      </pivotArea>
    </format>
    <format dxfId="9">
      <pivotArea dataOnly="0" labelOnly="1" fieldPosition="0">
        <references count="1">
          <reference field="3" count="1">
            <x v="22"/>
          </reference>
        </references>
      </pivotArea>
    </format>
    <format dxfId="10">
      <pivotArea dataOnly="0" labelOnly="1" fieldPosition="0">
        <references count="1">
          <reference field="3" count="1">
            <x v="2"/>
          </reference>
        </references>
      </pivotArea>
    </format>
    <format dxfId="11">
      <pivotArea dataOnly="0" labelOnly="1" fieldPosition="0">
        <references count="1">
          <reference field="3" count="1">
            <x v="53"/>
          </reference>
        </references>
      </pivotArea>
    </format>
    <format dxfId="12">
      <pivotArea dataOnly="0" labelOnly="1" fieldPosition="0">
        <references count="1">
          <reference field="3" count="1">
            <x v="57"/>
          </reference>
        </references>
      </pivotArea>
    </format>
    <format dxfId="13">
      <pivotArea dataOnly="0" labelOnly="1" fieldPosition="0">
        <references count="1">
          <reference field="3" count="1">
            <x v="26"/>
          </reference>
        </references>
      </pivotArea>
    </format>
    <format dxfId="14">
      <pivotArea dataOnly="0" labelOnly="1" fieldPosition="0">
        <references count="1">
          <reference field="3" count="1">
            <x v="44"/>
          </reference>
        </references>
      </pivotArea>
    </format>
    <format dxfId="15">
      <pivotArea dataOnly="0" labelOnly="1" fieldPosition="0">
        <references count="1">
          <reference field="3" count="1">
            <x v="58"/>
          </reference>
        </references>
      </pivotArea>
    </format>
    <format dxfId="16">
      <pivotArea dataOnly="0" labelOnly="1" fieldPosition="0">
        <references count="1">
          <reference field="3" count="1">
            <x v="56"/>
          </reference>
        </references>
      </pivotArea>
    </format>
    <format dxfId="17">
      <pivotArea dataOnly="0" labelOnly="1" fieldPosition="0">
        <references count="1">
          <reference field="3" count="1">
            <x v="52"/>
          </reference>
        </references>
      </pivotArea>
    </format>
    <format dxfId="18">
      <pivotArea dataOnly="0" labelOnly="1" fieldPosition="0">
        <references count="1">
          <reference field="3" count="2">
            <x v="55"/>
            <x v="72"/>
          </reference>
        </references>
      </pivotArea>
    </format>
    <format dxfId="19">
      <pivotArea dataOnly="0" labelOnly="1" fieldPosition="0">
        <references count="1">
          <reference field="3" count="2">
            <x v="51"/>
            <x v="64"/>
          </reference>
        </references>
      </pivotArea>
    </format>
    <format dxfId="20">
      <pivotArea dataOnly="0" labelOnly="1" fieldPosition="0">
        <references count="1">
          <reference field="3" count="2">
            <x v="4"/>
            <x v="65"/>
          </reference>
        </references>
      </pivotArea>
    </format>
    <format dxfId="21">
      <pivotArea dataOnly="0" labelOnly="1" fieldPosition="0">
        <references count="1">
          <reference field="3" count="1">
            <x v="70"/>
          </reference>
        </references>
      </pivotArea>
    </format>
    <format dxfId="22">
      <pivotArea dataOnly="0" labelOnly="1" fieldPosition="0">
        <references count="1">
          <reference field="3" count="1">
            <x v="60"/>
          </reference>
        </references>
      </pivotArea>
    </format>
    <format dxfId="23">
      <pivotArea dataOnly="0" labelOnly="1" fieldPosition="0">
        <references count="1">
          <reference field="3" count="2">
            <x v="27"/>
            <x v="61"/>
          </reference>
        </references>
      </pivotArea>
    </format>
    <format dxfId="24">
      <pivotArea dataOnly="0" labelOnly="1" fieldPosition="0">
        <references count="1">
          <reference field="3" count="1">
            <x v="14"/>
          </reference>
        </references>
      </pivotArea>
    </format>
    <format dxfId="25">
      <pivotArea dataOnly="0" labelOnly="1" fieldPosition="0">
        <references count="1">
          <reference field="3" count="1">
            <x v="68"/>
          </reference>
        </references>
      </pivotArea>
    </format>
    <format dxfId="26">
      <pivotArea dataOnly="0" labelOnly="1" fieldPosition="0">
        <references count="1">
          <reference field="3" count="1">
            <x v="8"/>
          </reference>
        </references>
      </pivotArea>
    </format>
    <format dxfId="27">
      <pivotArea dataOnly="0" labelOnly="1" fieldPosition="0">
        <references count="1">
          <reference field="3" count="1">
            <x v="4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9"/>
  <sheetViews>
    <sheetView workbookViewId="0">
      <pane ySplit="1" topLeftCell="A2" activePane="bottomLeft" state="frozen"/>
      <selection pane="bottomLeft" sqref="A1:A1048576"/>
    </sheetView>
  </sheetViews>
  <sheetFormatPr defaultColWidth="31.28515625" defaultRowHeight="14.45"/>
  <cols>
    <col min="2" max="2" width="58.7109375" bestFit="1" customWidth="1"/>
  </cols>
  <sheetData>
    <row r="1" spans="1:4">
      <c r="A1" s="1" t="s">
        <v>0</v>
      </c>
      <c r="B1" s="1" t="s">
        <v>1</v>
      </c>
      <c r="C1" t="s">
        <v>2</v>
      </c>
      <c r="D1" s="7" t="s">
        <v>3</v>
      </c>
    </row>
    <row r="2" spans="1:4">
      <c r="A2" t="s">
        <v>4</v>
      </c>
      <c r="B2" t="s">
        <v>5</v>
      </c>
      <c r="C2">
        <v>122</v>
      </c>
      <c r="D2" s="7" t="s">
        <v>5</v>
      </c>
    </row>
    <row r="3" spans="1:4">
      <c r="A3" t="s">
        <v>6</v>
      </c>
      <c r="B3" t="s">
        <v>7</v>
      </c>
      <c r="C3">
        <v>17</v>
      </c>
      <c r="D3" s="7" t="s">
        <v>7</v>
      </c>
    </row>
    <row r="4" spans="1:4">
      <c r="A4" t="s">
        <v>8</v>
      </c>
      <c r="B4" t="s">
        <v>9</v>
      </c>
      <c r="C4">
        <v>730</v>
      </c>
      <c r="D4" s="7" t="s">
        <v>10</v>
      </c>
    </row>
    <row r="5" spans="1:4">
      <c r="A5" t="s">
        <v>11</v>
      </c>
      <c r="B5" t="s">
        <v>12</v>
      </c>
      <c r="C5">
        <v>3255</v>
      </c>
      <c r="D5" s="7" t="s">
        <v>10</v>
      </c>
    </row>
    <row r="6" spans="1:4">
      <c r="A6" t="s">
        <v>13</v>
      </c>
      <c r="B6" t="s">
        <v>14</v>
      </c>
      <c r="C6">
        <v>198</v>
      </c>
      <c r="D6" s="7" t="s">
        <v>10</v>
      </c>
    </row>
    <row r="7" spans="1:4">
      <c r="A7" t="s">
        <v>15</v>
      </c>
      <c r="B7" t="s">
        <v>16</v>
      </c>
      <c r="C7">
        <v>2234</v>
      </c>
      <c r="D7" s="7" t="s">
        <v>10</v>
      </c>
    </row>
    <row r="8" spans="1:4">
      <c r="A8" t="s">
        <v>17</v>
      </c>
      <c r="B8" t="s">
        <v>18</v>
      </c>
      <c r="C8">
        <v>2735</v>
      </c>
      <c r="D8" s="7" t="s">
        <v>10</v>
      </c>
    </row>
    <row r="9" spans="1:4">
      <c r="A9" t="s">
        <v>19</v>
      </c>
      <c r="B9" t="s">
        <v>20</v>
      </c>
      <c r="C9">
        <v>1172</v>
      </c>
      <c r="D9" s="7" t="s">
        <v>10</v>
      </c>
    </row>
    <row r="10" spans="1:4">
      <c r="A10" t="s">
        <v>21</v>
      </c>
      <c r="B10" t="s">
        <v>22</v>
      </c>
      <c r="C10">
        <v>2</v>
      </c>
      <c r="D10" s="7" t="s">
        <v>10</v>
      </c>
    </row>
    <row r="11" spans="1:4">
      <c r="A11" t="s">
        <v>23</v>
      </c>
      <c r="B11" t="s">
        <v>24</v>
      </c>
      <c r="C11">
        <v>89704</v>
      </c>
      <c r="D11" s="7" t="s">
        <v>10</v>
      </c>
    </row>
    <row r="12" spans="1:4">
      <c r="A12" t="s">
        <v>25</v>
      </c>
      <c r="B12" t="s">
        <v>26</v>
      </c>
      <c r="C12">
        <v>8158</v>
      </c>
      <c r="D12" s="7" t="s">
        <v>10</v>
      </c>
    </row>
    <row r="13" spans="1:4">
      <c r="A13" t="s">
        <v>27</v>
      </c>
      <c r="B13" t="s">
        <v>28</v>
      </c>
      <c r="C13">
        <v>2</v>
      </c>
      <c r="D13" s="7" t="s">
        <v>10</v>
      </c>
    </row>
    <row r="14" spans="1:4">
      <c r="A14" t="s">
        <v>29</v>
      </c>
      <c r="B14" t="s">
        <v>30</v>
      </c>
      <c r="C14">
        <v>42</v>
      </c>
      <c r="D14" s="7" t="s">
        <v>10</v>
      </c>
    </row>
    <row r="15" spans="1:4">
      <c r="A15" t="s">
        <v>31</v>
      </c>
      <c r="B15" t="s">
        <v>32</v>
      </c>
      <c r="C15">
        <v>36</v>
      </c>
      <c r="D15" s="7" t="s">
        <v>10</v>
      </c>
    </row>
    <row r="16" spans="1:4">
      <c r="A16" t="s">
        <v>33</v>
      </c>
      <c r="B16" t="s">
        <v>34</v>
      </c>
      <c r="C16">
        <v>4</v>
      </c>
      <c r="D16" s="7" t="s">
        <v>10</v>
      </c>
    </row>
    <row r="17" spans="1:4">
      <c r="A17" t="s">
        <v>35</v>
      </c>
      <c r="B17" t="s">
        <v>36</v>
      </c>
      <c r="C17">
        <v>1987</v>
      </c>
      <c r="D17" s="7" t="s">
        <v>10</v>
      </c>
    </row>
    <row r="18" spans="1:4">
      <c r="A18" t="s">
        <v>37</v>
      </c>
      <c r="B18" t="s">
        <v>38</v>
      </c>
      <c r="C18">
        <v>25938</v>
      </c>
      <c r="D18" s="7" t="s">
        <v>10</v>
      </c>
    </row>
    <row r="19" spans="1:4">
      <c r="A19" t="s">
        <v>39</v>
      </c>
      <c r="B19" t="s">
        <v>40</v>
      </c>
      <c r="C19">
        <v>302</v>
      </c>
      <c r="D19" s="7" t="s">
        <v>40</v>
      </c>
    </row>
    <row r="20" spans="1:4">
      <c r="A20" t="s">
        <v>41</v>
      </c>
      <c r="B20" t="s">
        <v>42</v>
      </c>
      <c r="C20">
        <v>277</v>
      </c>
      <c r="D20" s="7" t="s">
        <v>43</v>
      </c>
    </row>
    <row r="21" spans="1:4">
      <c r="A21" t="s">
        <v>44</v>
      </c>
      <c r="B21" t="s">
        <v>45</v>
      </c>
      <c r="C21">
        <v>29</v>
      </c>
      <c r="D21" s="7" t="s">
        <v>43</v>
      </c>
    </row>
    <row r="22" spans="1:4">
      <c r="A22" t="s">
        <v>46</v>
      </c>
      <c r="B22" t="s">
        <v>47</v>
      </c>
      <c r="C22">
        <v>4</v>
      </c>
      <c r="D22" s="7" t="s">
        <v>43</v>
      </c>
    </row>
    <row r="23" spans="1:4">
      <c r="A23" t="s">
        <v>48</v>
      </c>
      <c r="B23" t="s">
        <v>49</v>
      </c>
      <c r="C23">
        <v>3</v>
      </c>
      <c r="D23" s="7" t="s">
        <v>43</v>
      </c>
    </row>
    <row r="24" spans="1:4">
      <c r="A24" t="s">
        <v>50</v>
      </c>
      <c r="B24" t="s">
        <v>51</v>
      </c>
      <c r="C24">
        <v>3805</v>
      </c>
      <c r="D24" s="7" t="s">
        <v>43</v>
      </c>
    </row>
    <row r="25" spans="1:4">
      <c r="A25" t="s">
        <v>52</v>
      </c>
      <c r="B25" t="s">
        <v>53</v>
      </c>
      <c r="C25">
        <v>4495</v>
      </c>
      <c r="D25" s="7" t="s">
        <v>43</v>
      </c>
    </row>
    <row r="26" spans="1:4">
      <c r="A26" t="s">
        <v>54</v>
      </c>
      <c r="B26" t="s">
        <v>55</v>
      </c>
      <c r="C26">
        <v>17</v>
      </c>
      <c r="D26" s="7" t="s">
        <v>43</v>
      </c>
    </row>
    <row r="27" spans="1:4">
      <c r="A27" t="s">
        <v>56</v>
      </c>
      <c r="B27" t="s">
        <v>57</v>
      </c>
      <c r="C27">
        <v>874</v>
      </c>
      <c r="D27" s="7" t="s">
        <v>43</v>
      </c>
    </row>
    <row r="28" spans="1:4">
      <c r="A28" t="s">
        <v>58</v>
      </c>
      <c r="B28" t="s">
        <v>59</v>
      </c>
      <c r="C28">
        <v>62</v>
      </c>
      <c r="D28" s="7" t="s">
        <v>43</v>
      </c>
    </row>
    <row r="29" spans="1:4">
      <c r="A29" t="s">
        <v>60</v>
      </c>
      <c r="B29" t="s">
        <v>61</v>
      </c>
      <c r="C29">
        <v>808</v>
      </c>
      <c r="D29" s="7" t="s">
        <v>43</v>
      </c>
    </row>
    <row r="30" spans="1:4">
      <c r="A30" t="s">
        <v>62</v>
      </c>
      <c r="B30" t="s">
        <v>63</v>
      </c>
      <c r="C30">
        <v>103939</v>
      </c>
      <c r="D30" s="7" t="s">
        <v>43</v>
      </c>
    </row>
    <row r="31" spans="1:4">
      <c r="A31" t="s">
        <v>64</v>
      </c>
      <c r="B31" t="s">
        <v>65</v>
      </c>
      <c r="C31">
        <v>1033</v>
      </c>
      <c r="D31" s="7" t="s">
        <v>43</v>
      </c>
    </row>
    <row r="32" spans="1:4">
      <c r="A32" t="s">
        <v>66</v>
      </c>
      <c r="B32" t="s">
        <v>67</v>
      </c>
      <c r="C32">
        <v>31849</v>
      </c>
      <c r="D32" s="7" t="s">
        <v>43</v>
      </c>
    </row>
    <row r="33" spans="1:4">
      <c r="A33" t="s">
        <v>68</v>
      </c>
      <c r="B33" t="s">
        <v>69</v>
      </c>
      <c r="C33">
        <v>2231</v>
      </c>
      <c r="D33" s="7" t="s">
        <v>43</v>
      </c>
    </row>
    <row r="34" spans="1:4">
      <c r="A34" t="s">
        <v>70</v>
      </c>
      <c r="B34" t="s">
        <v>71</v>
      </c>
      <c r="C34">
        <v>5791</v>
      </c>
      <c r="D34" s="7" t="s">
        <v>43</v>
      </c>
    </row>
    <row r="35" spans="1:4">
      <c r="A35" t="s">
        <v>72</v>
      </c>
      <c r="B35" t="s">
        <v>73</v>
      </c>
      <c r="C35">
        <v>1671</v>
      </c>
      <c r="D35" s="7" t="s">
        <v>43</v>
      </c>
    </row>
    <row r="36" spans="1:4">
      <c r="A36" t="s">
        <v>74</v>
      </c>
      <c r="B36" t="s">
        <v>75</v>
      </c>
      <c r="C36">
        <v>4</v>
      </c>
      <c r="D36" s="7" t="s">
        <v>43</v>
      </c>
    </row>
    <row r="37" spans="1:4">
      <c r="A37" t="s">
        <v>76</v>
      </c>
      <c r="B37" t="s">
        <v>77</v>
      </c>
      <c r="C37">
        <v>624</v>
      </c>
      <c r="D37" s="7" t="s">
        <v>43</v>
      </c>
    </row>
    <row r="38" spans="1:4">
      <c r="A38" t="s">
        <v>78</v>
      </c>
      <c r="B38" t="s">
        <v>79</v>
      </c>
      <c r="C38">
        <v>69</v>
      </c>
      <c r="D38" s="7" t="s">
        <v>43</v>
      </c>
    </row>
    <row r="39" spans="1:4">
      <c r="A39" t="s">
        <v>80</v>
      </c>
      <c r="B39" t="s">
        <v>81</v>
      </c>
      <c r="C39">
        <v>123</v>
      </c>
      <c r="D39" s="7" t="s">
        <v>43</v>
      </c>
    </row>
    <row r="40" spans="1:4">
      <c r="A40" t="s">
        <v>82</v>
      </c>
      <c r="B40" t="s">
        <v>83</v>
      </c>
      <c r="C40">
        <v>3592</v>
      </c>
      <c r="D40" s="7" t="s">
        <v>43</v>
      </c>
    </row>
    <row r="41" spans="1:4">
      <c r="A41" t="s">
        <v>84</v>
      </c>
      <c r="B41" t="s">
        <v>85</v>
      </c>
      <c r="C41">
        <v>41</v>
      </c>
      <c r="D41" s="7" t="s">
        <v>43</v>
      </c>
    </row>
    <row r="42" spans="1:4">
      <c r="A42" t="s">
        <v>86</v>
      </c>
      <c r="B42" t="s">
        <v>87</v>
      </c>
      <c r="C42">
        <v>2895</v>
      </c>
      <c r="D42" s="7" t="s">
        <v>43</v>
      </c>
    </row>
    <row r="43" spans="1:4">
      <c r="A43" t="s">
        <v>88</v>
      </c>
      <c r="B43" t="s">
        <v>89</v>
      </c>
      <c r="C43">
        <v>1001</v>
      </c>
      <c r="D43" s="7" t="s">
        <v>43</v>
      </c>
    </row>
    <row r="44" spans="1:4">
      <c r="A44" t="s">
        <v>90</v>
      </c>
      <c r="B44" t="s">
        <v>91</v>
      </c>
      <c r="C44">
        <v>2299</v>
      </c>
      <c r="D44" s="7" t="s">
        <v>43</v>
      </c>
    </row>
    <row r="45" spans="1:4">
      <c r="A45" t="s">
        <v>92</v>
      </c>
      <c r="B45" t="s">
        <v>93</v>
      </c>
      <c r="C45">
        <v>1515</v>
      </c>
      <c r="D45" s="7" t="s">
        <v>43</v>
      </c>
    </row>
    <row r="46" spans="1:4">
      <c r="A46" t="s">
        <v>94</v>
      </c>
      <c r="B46" t="s">
        <v>95</v>
      </c>
      <c r="C46">
        <v>13</v>
      </c>
      <c r="D46" s="7" t="s">
        <v>43</v>
      </c>
    </row>
    <row r="47" spans="1:4">
      <c r="A47" t="s">
        <v>96</v>
      </c>
      <c r="B47" t="s">
        <v>97</v>
      </c>
      <c r="C47">
        <v>470</v>
      </c>
      <c r="D47" s="7" t="s">
        <v>43</v>
      </c>
    </row>
    <row r="48" spans="1:4">
      <c r="A48" t="s">
        <v>98</v>
      </c>
      <c r="B48" t="s">
        <v>99</v>
      </c>
      <c r="C48">
        <v>18</v>
      </c>
      <c r="D48" s="7" t="s">
        <v>43</v>
      </c>
    </row>
    <row r="49" spans="1:4">
      <c r="A49" t="s">
        <v>100</v>
      </c>
      <c r="B49" t="s">
        <v>101</v>
      </c>
      <c r="C49">
        <v>1166</v>
      </c>
      <c r="D49" s="7" t="s">
        <v>43</v>
      </c>
    </row>
    <row r="50" spans="1:4">
      <c r="A50" t="s">
        <v>102</v>
      </c>
      <c r="B50" t="s">
        <v>103</v>
      </c>
      <c r="C50">
        <v>3216</v>
      </c>
      <c r="D50" s="7" t="s">
        <v>43</v>
      </c>
    </row>
    <row r="51" spans="1:4">
      <c r="A51" t="s">
        <v>104</v>
      </c>
      <c r="B51" t="s">
        <v>105</v>
      </c>
      <c r="C51">
        <v>9</v>
      </c>
      <c r="D51" s="7" t="s">
        <v>43</v>
      </c>
    </row>
    <row r="52" spans="1:4">
      <c r="A52" t="s">
        <v>106</v>
      </c>
      <c r="B52" t="s">
        <v>107</v>
      </c>
      <c r="C52">
        <v>329</v>
      </c>
      <c r="D52" s="7" t="s">
        <v>43</v>
      </c>
    </row>
    <row r="53" spans="1:4">
      <c r="A53" t="s">
        <v>108</v>
      </c>
      <c r="B53" t="s">
        <v>109</v>
      </c>
      <c r="C53">
        <v>14</v>
      </c>
      <c r="D53" s="7" t="s">
        <v>43</v>
      </c>
    </row>
    <row r="54" spans="1:4">
      <c r="A54" t="s">
        <v>110</v>
      </c>
      <c r="B54" t="s">
        <v>111</v>
      </c>
      <c r="C54">
        <v>968</v>
      </c>
      <c r="D54" s="7" t="s">
        <v>43</v>
      </c>
    </row>
    <row r="55" spans="1:4">
      <c r="A55" t="s">
        <v>112</v>
      </c>
      <c r="B55" t="s">
        <v>113</v>
      </c>
      <c r="C55">
        <v>37</v>
      </c>
      <c r="D55" s="7" t="s">
        <v>43</v>
      </c>
    </row>
    <row r="56" spans="1:4">
      <c r="A56" t="s">
        <v>114</v>
      </c>
      <c r="B56" t="s">
        <v>115</v>
      </c>
      <c r="C56">
        <v>34734</v>
      </c>
      <c r="D56" s="7" t="s">
        <v>43</v>
      </c>
    </row>
    <row r="57" spans="1:4">
      <c r="A57" t="s">
        <v>116</v>
      </c>
      <c r="B57" t="s">
        <v>117</v>
      </c>
      <c r="C57">
        <v>135</v>
      </c>
      <c r="D57" s="7" t="s">
        <v>43</v>
      </c>
    </row>
    <row r="58" spans="1:4">
      <c r="A58" t="s">
        <v>118</v>
      </c>
      <c r="B58" t="s">
        <v>119</v>
      </c>
      <c r="C58">
        <v>12972</v>
      </c>
      <c r="D58" s="7" t="s">
        <v>43</v>
      </c>
    </row>
    <row r="59" spans="1:4">
      <c r="A59" t="s">
        <v>120</v>
      </c>
      <c r="B59" t="s">
        <v>121</v>
      </c>
      <c r="C59">
        <v>2277</v>
      </c>
      <c r="D59" s="7" t="s">
        <v>43</v>
      </c>
    </row>
    <row r="60" spans="1:4">
      <c r="A60" t="s">
        <v>122</v>
      </c>
      <c r="B60" t="s">
        <v>123</v>
      </c>
      <c r="C60">
        <v>20087</v>
      </c>
      <c r="D60" s="7" t="s">
        <v>43</v>
      </c>
    </row>
    <row r="61" spans="1:4">
      <c r="A61" t="s">
        <v>124</v>
      </c>
      <c r="B61" t="s">
        <v>125</v>
      </c>
      <c r="C61">
        <v>129</v>
      </c>
      <c r="D61" s="7" t="s">
        <v>43</v>
      </c>
    </row>
    <row r="62" spans="1:4">
      <c r="A62" t="s">
        <v>126</v>
      </c>
      <c r="B62" t="s">
        <v>127</v>
      </c>
      <c r="C62">
        <v>41</v>
      </c>
      <c r="D62" s="7" t="s">
        <v>43</v>
      </c>
    </row>
    <row r="63" spans="1:4">
      <c r="A63" t="s">
        <v>128</v>
      </c>
      <c r="B63" t="s">
        <v>129</v>
      </c>
      <c r="C63">
        <v>11</v>
      </c>
      <c r="D63" s="7" t="s">
        <v>43</v>
      </c>
    </row>
    <row r="64" spans="1:4">
      <c r="A64" t="s">
        <v>130</v>
      </c>
      <c r="B64" t="s">
        <v>131</v>
      </c>
      <c r="C64">
        <v>19470</v>
      </c>
      <c r="D64" s="7" t="s">
        <v>43</v>
      </c>
    </row>
    <row r="65" spans="1:4">
      <c r="A65" t="s">
        <v>132</v>
      </c>
      <c r="B65" t="s">
        <v>133</v>
      </c>
      <c r="C65">
        <v>156</v>
      </c>
      <c r="D65" s="7" t="s">
        <v>43</v>
      </c>
    </row>
    <row r="66" spans="1:4">
      <c r="A66" t="s">
        <v>134</v>
      </c>
      <c r="B66" t="s">
        <v>135</v>
      </c>
      <c r="C66">
        <v>12416</v>
      </c>
      <c r="D66" s="7" t="s">
        <v>43</v>
      </c>
    </row>
    <row r="67" spans="1:4">
      <c r="A67" t="s">
        <v>136</v>
      </c>
      <c r="B67" t="s">
        <v>137</v>
      </c>
      <c r="C67">
        <v>547</v>
      </c>
      <c r="D67" s="7" t="s">
        <v>43</v>
      </c>
    </row>
    <row r="68" spans="1:4">
      <c r="A68" t="s">
        <v>138</v>
      </c>
      <c r="B68" t="s">
        <v>139</v>
      </c>
      <c r="C68">
        <v>5408</v>
      </c>
      <c r="D68" s="7" t="s">
        <v>43</v>
      </c>
    </row>
    <row r="69" spans="1:4">
      <c r="A69" t="s">
        <v>140</v>
      </c>
      <c r="B69" t="s">
        <v>141</v>
      </c>
      <c r="C69">
        <v>855</v>
      </c>
      <c r="D69" s="7" t="s">
        <v>43</v>
      </c>
    </row>
    <row r="70" spans="1:4">
      <c r="A70" t="s">
        <v>142</v>
      </c>
      <c r="B70" t="s">
        <v>143</v>
      </c>
      <c r="C70">
        <v>11</v>
      </c>
      <c r="D70" s="7" t="s">
        <v>144</v>
      </c>
    </row>
    <row r="71" spans="1:4">
      <c r="A71" t="s">
        <v>145</v>
      </c>
      <c r="B71" t="s">
        <v>146</v>
      </c>
      <c r="C71">
        <v>1499</v>
      </c>
      <c r="D71" s="7" t="s">
        <v>144</v>
      </c>
    </row>
    <row r="72" spans="1:4">
      <c r="A72" t="s">
        <v>147</v>
      </c>
      <c r="B72" t="s">
        <v>148</v>
      </c>
      <c r="C72">
        <v>2602</v>
      </c>
      <c r="D72" s="7" t="s">
        <v>144</v>
      </c>
    </row>
    <row r="73" spans="1:4">
      <c r="A73" t="s">
        <v>149</v>
      </c>
      <c r="B73" t="s">
        <v>150</v>
      </c>
      <c r="C73">
        <v>6</v>
      </c>
      <c r="D73" s="7" t="s">
        <v>144</v>
      </c>
    </row>
    <row r="74" spans="1:4">
      <c r="A74" t="s">
        <v>151</v>
      </c>
      <c r="B74" t="s">
        <v>152</v>
      </c>
      <c r="C74">
        <v>2874</v>
      </c>
      <c r="D74" s="7" t="s">
        <v>144</v>
      </c>
    </row>
    <row r="75" spans="1:4">
      <c r="A75" t="s">
        <v>153</v>
      </c>
      <c r="B75" t="s">
        <v>154</v>
      </c>
      <c r="C75">
        <v>46</v>
      </c>
      <c r="D75" s="7" t="s">
        <v>144</v>
      </c>
    </row>
    <row r="76" spans="1:4">
      <c r="A76" t="s">
        <v>155</v>
      </c>
      <c r="B76" t="s">
        <v>156</v>
      </c>
      <c r="C76">
        <v>237</v>
      </c>
      <c r="D76" s="7" t="s">
        <v>144</v>
      </c>
    </row>
    <row r="77" spans="1:4">
      <c r="A77" t="s">
        <v>157</v>
      </c>
      <c r="B77" t="s">
        <v>158</v>
      </c>
      <c r="C77">
        <v>1364</v>
      </c>
      <c r="D77" s="7" t="s">
        <v>144</v>
      </c>
    </row>
    <row r="78" spans="1:4">
      <c r="A78" t="s">
        <v>159</v>
      </c>
      <c r="B78" t="s">
        <v>160</v>
      </c>
      <c r="C78">
        <v>25748</v>
      </c>
      <c r="D78" s="7" t="s">
        <v>144</v>
      </c>
    </row>
    <row r="79" spans="1:4">
      <c r="A79" t="s">
        <v>161</v>
      </c>
      <c r="B79" t="s">
        <v>162</v>
      </c>
      <c r="C79">
        <v>22870</v>
      </c>
      <c r="D79" s="7" t="s">
        <v>144</v>
      </c>
    </row>
    <row r="80" spans="1:4">
      <c r="A80" t="s">
        <v>163</v>
      </c>
      <c r="B80" t="s">
        <v>164</v>
      </c>
      <c r="C80">
        <v>120</v>
      </c>
      <c r="D80" s="7" t="s">
        <v>144</v>
      </c>
    </row>
    <row r="81" spans="1:4">
      <c r="A81" t="s">
        <v>165</v>
      </c>
      <c r="B81" t="s">
        <v>166</v>
      </c>
      <c r="C81">
        <v>22224</v>
      </c>
      <c r="D81" s="7" t="s">
        <v>144</v>
      </c>
    </row>
    <row r="82" spans="1:4">
      <c r="A82" t="s">
        <v>167</v>
      </c>
      <c r="B82" t="s">
        <v>168</v>
      </c>
      <c r="C82">
        <v>661</v>
      </c>
      <c r="D82" s="7" t="s">
        <v>144</v>
      </c>
    </row>
    <row r="83" spans="1:4">
      <c r="A83" t="s">
        <v>169</v>
      </c>
      <c r="B83" t="s">
        <v>170</v>
      </c>
      <c r="C83">
        <v>2244</v>
      </c>
      <c r="D83" s="7" t="s">
        <v>144</v>
      </c>
    </row>
    <row r="84" spans="1:4">
      <c r="A84" t="s">
        <v>171</v>
      </c>
      <c r="B84" t="s">
        <v>172</v>
      </c>
      <c r="C84">
        <v>5</v>
      </c>
      <c r="D84" s="7" t="s">
        <v>144</v>
      </c>
    </row>
    <row r="85" spans="1:4">
      <c r="A85" t="s">
        <v>173</v>
      </c>
      <c r="B85" t="s">
        <v>174</v>
      </c>
      <c r="C85">
        <v>96</v>
      </c>
      <c r="D85" s="7" t="s">
        <v>144</v>
      </c>
    </row>
    <row r="86" spans="1:4">
      <c r="A86" t="s">
        <v>175</v>
      </c>
      <c r="B86" t="s">
        <v>176</v>
      </c>
      <c r="C86">
        <v>976</v>
      </c>
      <c r="D86" s="7" t="s">
        <v>144</v>
      </c>
    </row>
    <row r="87" spans="1:4">
      <c r="A87" t="s">
        <v>177</v>
      </c>
      <c r="B87" t="s">
        <v>178</v>
      </c>
      <c r="C87">
        <v>4</v>
      </c>
      <c r="D87" s="7" t="s">
        <v>144</v>
      </c>
    </row>
    <row r="88" spans="1:4">
      <c r="A88" t="s">
        <v>179</v>
      </c>
      <c r="B88" t="s">
        <v>180</v>
      </c>
      <c r="C88">
        <v>1398</v>
      </c>
      <c r="D88" s="7" t="s">
        <v>144</v>
      </c>
    </row>
    <row r="89" spans="1:4">
      <c r="A89" t="s">
        <v>181</v>
      </c>
      <c r="B89" t="s">
        <v>182</v>
      </c>
      <c r="C89">
        <v>12</v>
      </c>
      <c r="D89" s="7" t="s">
        <v>144</v>
      </c>
    </row>
    <row r="90" spans="1:4">
      <c r="A90" t="s">
        <v>183</v>
      </c>
      <c r="B90" t="s">
        <v>184</v>
      </c>
      <c r="C90">
        <v>50</v>
      </c>
      <c r="D90" s="7" t="s">
        <v>144</v>
      </c>
    </row>
    <row r="91" spans="1:4">
      <c r="A91" t="s">
        <v>185</v>
      </c>
      <c r="B91" t="s">
        <v>186</v>
      </c>
      <c r="C91">
        <v>130</v>
      </c>
      <c r="D91" s="7" t="s">
        <v>144</v>
      </c>
    </row>
    <row r="92" spans="1:4">
      <c r="A92" t="s">
        <v>187</v>
      </c>
      <c r="B92" t="s">
        <v>188</v>
      </c>
      <c r="C92">
        <v>2072</v>
      </c>
      <c r="D92" s="7" t="s">
        <v>144</v>
      </c>
    </row>
    <row r="93" spans="1:4">
      <c r="A93" t="s">
        <v>189</v>
      </c>
      <c r="B93" t="s">
        <v>190</v>
      </c>
      <c r="C93">
        <v>3236</v>
      </c>
      <c r="D93" s="7" t="s">
        <v>144</v>
      </c>
    </row>
    <row r="94" spans="1:4">
      <c r="A94" t="s">
        <v>191</v>
      </c>
      <c r="B94" t="s">
        <v>192</v>
      </c>
      <c r="C94">
        <v>16</v>
      </c>
      <c r="D94" s="7" t="s">
        <v>144</v>
      </c>
    </row>
    <row r="95" spans="1:4">
      <c r="A95" t="s">
        <v>193</v>
      </c>
      <c r="B95" t="s">
        <v>194</v>
      </c>
      <c r="C95">
        <v>3881</v>
      </c>
      <c r="D95" s="7" t="s">
        <v>144</v>
      </c>
    </row>
    <row r="96" spans="1:4">
      <c r="A96" t="s">
        <v>195</v>
      </c>
      <c r="B96" t="s">
        <v>196</v>
      </c>
      <c r="C96">
        <v>79</v>
      </c>
      <c r="D96" s="7" t="s">
        <v>144</v>
      </c>
    </row>
    <row r="97" spans="1:4">
      <c r="A97" t="s">
        <v>197</v>
      </c>
      <c r="B97" t="s">
        <v>198</v>
      </c>
      <c r="C97">
        <v>201</v>
      </c>
      <c r="D97" s="7" t="s">
        <v>144</v>
      </c>
    </row>
    <row r="98" spans="1:4">
      <c r="A98" t="s">
        <v>199</v>
      </c>
      <c r="B98" t="s">
        <v>200</v>
      </c>
      <c r="C98">
        <v>3</v>
      </c>
      <c r="D98" s="7" t="s">
        <v>144</v>
      </c>
    </row>
    <row r="99" spans="1:4">
      <c r="A99" t="s">
        <v>201</v>
      </c>
      <c r="B99" t="s">
        <v>202</v>
      </c>
      <c r="C99">
        <v>145</v>
      </c>
      <c r="D99" s="7" t="s">
        <v>144</v>
      </c>
    </row>
    <row r="100" spans="1:4">
      <c r="A100" t="s">
        <v>203</v>
      </c>
      <c r="B100" t="s">
        <v>204</v>
      </c>
      <c r="C100">
        <v>1251</v>
      </c>
      <c r="D100" s="7" t="s">
        <v>144</v>
      </c>
    </row>
    <row r="101" spans="1:4">
      <c r="A101" t="s">
        <v>205</v>
      </c>
      <c r="B101" t="s">
        <v>206</v>
      </c>
      <c r="C101">
        <v>2</v>
      </c>
      <c r="D101" s="7" t="s">
        <v>144</v>
      </c>
    </row>
    <row r="102" spans="1:4">
      <c r="A102" t="s">
        <v>207</v>
      </c>
      <c r="B102" t="s">
        <v>208</v>
      </c>
      <c r="C102">
        <v>490</v>
      </c>
      <c r="D102" s="7" t="s">
        <v>144</v>
      </c>
    </row>
    <row r="103" spans="1:4">
      <c r="A103" t="s">
        <v>209</v>
      </c>
      <c r="B103" t="s">
        <v>210</v>
      </c>
      <c r="C103">
        <v>18</v>
      </c>
      <c r="D103" s="7" t="s">
        <v>144</v>
      </c>
    </row>
    <row r="104" spans="1:4">
      <c r="A104" t="s">
        <v>211</v>
      </c>
      <c r="B104" t="s">
        <v>212</v>
      </c>
      <c r="C104">
        <v>36</v>
      </c>
      <c r="D104" s="7" t="s">
        <v>144</v>
      </c>
    </row>
    <row r="105" spans="1:4">
      <c r="A105" t="s">
        <v>213</v>
      </c>
      <c r="B105" t="s">
        <v>214</v>
      </c>
      <c r="C105">
        <v>695</v>
      </c>
      <c r="D105" s="7" t="s">
        <v>144</v>
      </c>
    </row>
    <row r="106" spans="1:4">
      <c r="A106" t="s">
        <v>215</v>
      </c>
      <c r="B106" t="s">
        <v>216</v>
      </c>
      <c r="C106">
        <v>4191</v>
      </c>
      <c r="D106" s="7" t="s">
        <v>144</v>
      </c>
    </row>
    <row r="107" spans="1:4">
      <c r="A107" t="s">
        <v>217</v>
      </c>
      <c r="B107" t="s">
        <v>218</v>
      </c>
      <c r="C107">
        <v>11927</v>
      </c>
      <c r="D107" s="7" t="s">
        <v>144</v>
      </c>
    </row>
    <row r="108" spans="1:4">
      <c r="A108" t="s">
        <v>219</v>
      </c>
      <c r="B108" t="s">
        <v>220</v>
      </c>
      <c r="C108">
        <v>8</v>
      </c>
      <c r="D108" s="7" t="s">
        <v>144</v>
      </c>
    </row>
    <row r="109" spans="1:4">
      <c r="A109" t="s">
        <v>221</v>
      </c>
      <c r="B109" t="s">
        <v>222</v>
      </c>
      <c r="C109">
        <v>4902</v>
      </c>
      <c r="D109" s="7" t="s">
        <v>144</v>
      </c>
    </row>
    <row r="110" spans="1:4">
      <c r="A110" t="s">
        <v>223</v>
      </c>
      <c r="B110" t="s">
        <v>224</v>
      </c>
      <c r="C110">
        <v>928</v>
      </c>
      <c r="D110" s="7" t="s">
        <v>144</v>
      </c>
    </row>
    <row r="111" spans="1:4">
      <c r="A111" t="s">
        <v>225</v>
      </c>
      <c r="B111" t="s">
        <v>226</v>
      </c>
      <c r="C111">
        <v>800</v>
      </c>
      <c r="D111" s="7" t="s">
        <v>144</v>
      </c>
    </row>
    <row r="112" spans="1:4">
      <c r="A112" t="s">
        <v>227</v>
      </c>
      <c r="B112" t="s">
        <v>228</v>
      </c>
      <c r="C112">
        <v>1</v>
      </c>
      <c r="D112" s="7" t="s">
        <v>144</v>
      </c>
    </row>
    <row r="113" spans="1:4">
      <c r="A113" t="s">
        <v>229</v>
      </c>
      <c r="B113" t="s">
        <v>230</v>
      </c>
      <c r="C113">
        <v>5</v>
      </c>
      <c r="D113" s="7" t="s">
        <v>144</v>
      </c>
    </row>
    <row r="114" spans="1:4">
      <c r="A114" t="s">
        <v>231</v>
      </c>
      <c r="B114" t="s">
        <v>232</v>
      </c>
      <c r="C114">
        <v>304</v>
      </c>
      <c r="D114" s="7" t="s">
        <v>144</v>
      </c>
    </row>
    <row r="115" spans="1:4">
      <c r="A115" t="s">
        <v>233</v>
      </c>
      <c r="B115" t="s">
        <v>234</v>
      </c>
      <c r="C115">
        <v>88</v>
      </c>
      <c r="D115" s="7" t="s">
        <v>144</v>
      </c>
    </row>
    <row r="116" spans="1:4">
      <c r="A116" t="s">
        <v>235</v>
      </c>
      <c r="B116" t="s">
        <v>236</v>
      </c>
      <c r="C116">
        <v>4</v>
      </c>
      <c r="D116" s="7" t="s">
        <v>144</v>
      </c>
    </row>
    <row r="117" spans="1:4">
      <c r="A117" t="s">
        <v>237</v>
      </c>
      <c r="B117" t="s">
        <v>238</v>
      </c>
      <c r="C117">
        <v>2</v>
      </c>
      <c r="D117" s="7" t="s">
        <v>144</v>
      </c>
    </row>
    <row r="118" spans="1:4">
      <c r="A118" t="s">
        <v>239</v>
      </c>
      <c r="B118" t="s">
        <v>240</v>
      </c>
      <c r="C118">
        <v>48</v>
      </c>
      <c r="D118" s="7" t="s">
        <v>144</v>
      </c>
    </row>
    <row r="119" spans="1:4">
      <c r="A119" t="s">
        <v>241</v>
      </c>
      <c r="B119" t="s">
        <v>242</v>
      </c>
      <c r="C119">
        <v>254</v>
      </c>
      <c r="D119" s="7" t="s">
        <v>144</v>
      </c>
    </row>
    <row r="120" spans="1:4">
      <c r="A120" t="s">
        <v>243</v>
      </c>
      <c r="B120" t="s">
        <v>244</v>
      </c>
      <c r="C120">
        <v>1120</v>
      </c>
      <c r="D120" s="7" t="s">
        <v>144</v>
      </c>
    </row>
    <row r="121" spans="1:4">
      <c r="A121" t="s">
        <v>245</v>
      </c>
      <c r="B121" t="s">
        <v>246</v>
      </c>
      <c r="C121">
        <v>2</v>
      </c>
      <c r="D121" s="7" t="s">
        <v>144</v>
      </c>
    </row>
    <row r="122" spans="1:4">
      <c r="A122" t="s">
        <v>247</v>
      </c>
      <c r="B122" t="s">
        <v>248</v>
      </c>
      <c r="C122">
        <v>607</v>
      </c>
      <c r="D122" s="7" t="s">
        <v>144</v>
      </c>
    </row>
    <row r="123" spans="1:4">
      <c r="A123" t="s">
        <v>249</v>
      </c>
      <c r="B123" t="s">
        <v>250</v>
      </c>
      <c r="C123">
        <v>28</v>
      </c>
      <c r="D123" s="7" t="s">
        <v>144</v>
      </c>
    </row>
    <row r="124" spans="1:4">
      <c r="A124" t="s">
        <v>251</v>
      </c>
      <c r="B124" t="s">
        <v>252</v>
      </c>
      <c r="C124">
        <v>47</v>
      </c>
      <c r="D124" s="7" t="s">
        <v>144</v>
      </c>
    </row>
    <row r="125" spans="1:4">
      <c r="A125" t="s">
        <v>253</v>
      </c>
      <c r="B125" t="s">
        <v>254</v>
      </c>
      <c r="C125">
        <v>7</v>
      </c>
      <c r="D125" s="7" t="s">
        <v>255</v>
      </c>
    </row>
    <row r="126" spans="1:4">
      <c r="A126" t="s">
        <v>256</v>
      </c>
      <c r="B126" t="s">
        <v>257</v>
      </c>
      <c r="C126">
        <v>3</v>
      </c>
      <c r="D126" s="7" t="s">
        <v>255</v>
      </c>
    </row>
    <row r="127" spans="1:4">
      <c r="A127" t="s">
        <v>258</v>
      </c>
      <c r="B127" t="s">
        <v>259</v>
      </c>
      <c r="C127">
        <v>92</v>
      </c>
      <c r="D127" s="7" t="s">
        <v>255</v>
      </c>
    </row>
    <row r="128" spans="1:4">
      <c r="A128" t="s">
        <v>260</v>
      </c>
      <c r="B128" t="s">
        <v>261</v>
      </c>
      <c r="C128">
        <v>131</v>
      </c>
      <c r="D128" s="7" t="s">
        <v>262</v>
      </c>
    </row>
    <row r="129" spans="1:4">
      <c r="A129" t="s">
        <v>263</v>
      </c>
      <c r="B129" t="s">
        <v>264</v>
      </c>
      <c r="C129">
        <v>11</v>
      </c>
      <c r="D129" s="7" t="s">
        <v>262</v>
      </c>
    </row>
    <row r="130" spans="1:4">
      <c r="A130" t="s">
        <v>265</v>
      </c>
      <c r="B130" t="s">
        <v>266</v>
      </c>
      <c r="C130">
        <v>170</v>
      </c>
      <c r="D130" s="7" t="s">
        <v>262</v>
      </c>
    </row>
    <row r="131" spans="1:4">
      <c r="A131" t="s">
        <v>267</v>
      </c>
      <c r="B131" t="s">
        <v>268</v>
      </c>
      <c r="C131">
        <v>10</v>
      </c>
      <c r="D131" s="7" t="s">
        <v>262</v>
      </c>
    </row>
    <row r="132" spans="1:4">
      <c r="A132" t="s">
        <v>269</v>
      </c>
      <c r="B132" t="s">
        <v>270</v>
      </c>
      <c r="C132">
        <v>520</v>
      </c>
      <c r="D132" s="7" t="s">
        <v>262</v>
      </c>
    </row>
    <row r="133" spans="1:4">
      <c r="A133" t="s">
        <v>271</v>
      </c>
      <c r="B133" t="s">
        <v>272</v>
      </c>
      <c r="C133">
        <v>40</v>
      </c>
      <c r="D133" s="7" t="s">
        <v>262</v>
      </c>
    </row>
    <row r="134" spans="1:4">
      <c r="A134" t="s">
        <v>273</v>
      </c>
      <c r="B134" t="s">
        <v>274</v>
      </c>
      <c r="C134">
        <v>2527</v>
      </c>
      <c r="D134" s="7" t="s">
        <v>262</v>
      </c>
    </row>
    <row r="135" spans="1:4">
      <c r="A135" t="s">
        <v>275</v>
      </c>
      <c r="B135" t="s">
        <v>276</v>
      </c>
      <c r="C135">
        <v>55</v>
      </c>
      <c r="D135" s="7" t="s">
        <v>262</v>
      </c>
    </row>
    <row r="136" spans="1:4">
      <c r="A136" t="s">
        <v>277</v>
      </c>
      <c r="B136" t="s">
        <v>278</v>
      </c>
      <c r="C136">
        <v>664</v>
      </c>
      <c r="D136" s="7" t="s">
        <v>262</v>
      </c>
    </row>
    <row r="137" spans="1:4">
      <c r="A137" t="s">
        <v>279</v>
      </c>
      <c r="B137" t="s">
        <v>280</v>
      </c>
      <c r="C137">
        <v>1024</v>
      </c>
      <c r="D137" s="7" t="s">
        <v>262</v>
      </c>
    </row>
    <row r="138" spans="1:4">
      <c r="A138" t="s">
        <v>281</v>
      </c>
      <c r="B138" t="s">
        <v>282</v>
      </c>
      <c r="C138">
        <v>311</v>
      </c>
      <c r="D138" s="7" t="s">
        <v>262</v>
      </c>
    </row>
    <row r="139" spans="1:4">
      <c r="A139" t="s">
        <v>283</v>
      </c>
      <c r="B139" t="s">
        <v>284</v>
      </c>
      <c r="C139">
        <v>15</v>
      </c>
      <c r="D139" s="7" t="s">
        <v>262</v>
      </c>
    </row>
    <row r="140" spans="1:4">
      <c r="A140" t="s">
        <v>285</v>
      </c>
      <c r="B140" t="s">
        <v>286</v>
      </c>
      <c r="C140">
        <v>828</v>
      </c>
      <c r="D140" s="7" t="s">
        <v>262</v>
      </c>
    </row>
    <row r="141" spans="1:4">
      <c r="A141" t="s">
        <v>287</v>
      </c>
      <c r="B141" t="s">
        <v>288</v>
      </c>
      <c r="C141">
        <v>31</v>
      </c>
      <c r="D141" s="7" t="s">
        <v>262</v>
      </c>
    </row>
    <row r="142" spans="1:4">
      <c r="A142" t="s">
        <v>289</v>
      </c>
      <c r="B142" t="s">
        <v>290</v>
      </c>
      <c r="C142">
        <v>99</v>
      </c>
      <c r="D142" s="7" t="s">
        <v>262</v>
      </c>
    </row>
    <row r="143" spans="1:4">
      <c r="A143" t="s">
        <v>291</v>
      </c>
      <c r="B143" t="s">
        <v>292</v>
      </c>
      <c r="C143">
        <v>1430</v>
      </c>
      <c r="D143" s="7" t="s">
        <v>293</v>
      </c>
    </row>
    <row r="144" spans="1:4">
      <c r="A144" t="s">
        <v>294</v>
      </c>
      <c r="B144" t="s">
        <v>295</v>
      </c>
      <c r="C144">
        <v>375</v>
      </c>
      <c r="D144" s="7" t="s">
        <v>293</v>
      </c>
    </row>
    <row r="145" spans="1:4">
      <c r="A145" t="s">
        <v>296</v>
      </c>
      <c r="B145" t="s">
        <v>297</v>
      </c>
      <c r="C145">
        <v>3279</v>
      </c>
      <c r="D145" s="7" t="s">
        <v>298</v>
      </c>
    </row>
    <row r="146" spans="1:4">
      <c r="A146" t="s">
        <v>299</v>
      </c>
      <c r="B146" t="s">
        <v>300</v>
      </c>
      <c r="C146">
        <v>4</v>
      </c>
      <c r="D146" s="7" t="s">
        <v>298</v>
      </c>
    </row>
    <row r="147" spans="1:4">
      <c r="A147" t="s">
        <v>301</v>
      </c>
      <c r="B147" t="s">
        <v>302</v>
      </c>
      <c r="C147">
        <v>2187</v>
      </c>
      <c r="D147" s="7" t="s">
        <v>298</v>
      </c>
    </row>
    <row r="148" spans="1:4">
      <c r="A148" t="s">
        <v>303</v>
      </c>
      <c r="B148" t="s">
        <v>304</v>
      </c>
      <c r="C148">
        <v>1</v>
      </c>
      <c r="D148" s="7" t="s">
        <v>298</v>
      </c>
    </row>
    <row r="149" spans="1:4">
      <c r="A149" t="s">
        <v>305</v>
      </c>
      <c r="B149" t="s">
        <v>304</v>
      </c>
      <c r="C149">
        <v>1</v>
      </c>
      <c r="D149" s="7" t="s">
        <v>298</v>
      </c>
    </row>
    <row r="150" spans="1:4">
      <c r="A150" t="s">
        <v>306</v>
      </c>
      <c r="B150" t="s">
        <v>307</v>
      </c>
      <c r="C150">
        <v>36</v>
      </c>
      <c r="D150" s="7" t="s">
        <v>298</v>
      </c>
    </row>
    <row r="151" spans="1:4">
      <c r="A151" t="s">
        <v>308</v>
      </c>
      <c r="B151" t="s">
        <v>309</v>
      </c>
      <c r="C151">
        <v>5</v>
      </c>
      <c r="D151" s="7" t="s">
        <v>298</v>
      </c>
    </row>
    <row r="152" spans="1:4">
      <c r="A152" t="s">
        <v>310</v>
      </c>
      <c r="B152" t="s">
        <v>311</v>
      </c>
      <c r="C152">
        <v>15359</v>
      </c>
      <c r="D152" s="7" t="s">
        <v>298</v>
      </c>
    </row>
    <row r="153" spans="1:4">
      <c r="A153" t="s">
        <v>312</v>
      </c>
      <c r="B153" t="s">
        <v>313</v>
      </c>
      <c r="C153">
        <v>2957</v>
      </c>
      <c r="D153" s="7" t="s">
        <v>298</v>
      </c>
    </row>
    <row r="154" spans="1:4">
      <c r="A154" t="s">
        <v>314</v>
      </c>
      <c r="B154" t="s">
        <v>315</v>
      </c>
      <c r="C154">
        <v>3</v>
      </c>
      <c r="D154" s="7" t="s">
        <v>298</v>
      </c>
    </row>
    <row r="155" spans="1:4">
      <c r="A155" t="s">
        <v>316</v>
      </c>
      <c r="B155" t="s">
        <v>317</v>
      </c>
      <c r="C155">
        <v>843</v>
      </c>
      <c r="D155" s="7" t="s">
        <v>298</v>
      </c>
    </row>
    <row r="156" spans="1:4">
      <c r="A156" t="s">
        <v>318</v>
      </c>
      <c r="B156" t="s">
        <v>319</v>
      </c>
      <c r="C156">
        <v>39</v>
      </c>
      <c r="D156" s="7" t="s">
        <v>298</v>
      </c>
    </row>
    <row r="157" spans="1:4">
      <c r="A157" t="s">
        <v>320</v>
      </c>
      <c r="B157" t="s">
        <v>321</v>
      </c>
      <c r="C157">
        <v>10</v>
      </c>
      <c r="D157" s="7" t="s">
        <v>298</v>
      </c>
    </row>
    <row r="158" spans="1:4">
      <c r="A158" t="s">
        <v>322</v>
      </c>
      <c r="B158" t="s">
        <v>323</v>
      </c>
      <c r="C158">
        <v>10315</v>
      </c>
      <c r="D158" s="7" t="s">
        <v>298</v>
      </c>
    </row>
    <row r="159" spans="1:4">
      <c r="A159" t="s">
        <v>324</v>
      </c>
      <c r="B159" t="s">
        <v>325</v>
      </c>
      <c r="C159">
        <v>2545</v>
      </c>
      <c r="D159" s="7" t="s">
        <v>325</v>
      </c>
    </row>
    <row r="160" spans="1:4">
      <c r="A160" t="s">
        <v>326</v>
      </c>
      <c r="B160" t="s">
        <v>327</v>
      </c>
      <c r="C160">
        <v>1</v>
      </c>
      <c r="D160" s="7" t="s">
        <v>327</v>
      </c>
    </row>
    <row r="161" spans="1:4">
      <c r="A161" t="s">
        <v>328</v>
      </c>
      <c r="B161" t="s">
        <v>329</v>
      </c>
      <c r="C161">
        <v>1</v>
      </c>
      <c r="D161" s="7" t="s">
        <v>329</v>
      </c>
    </row>
    <row r="162" spans="1:4">
      <c r="A162" t="s">
        <v>330</v>
      </c>
      <c r="B162" t="s">
        <v>331</v>
      </c>
      <c r="C162">
        <v>80</v>
      </c>
      <c r="D162" s="7" t="s">
        <v>331</v>
      </c>
    </row>
    <row r="163" spans="1:4">
      <c r="A163" t="s">
        <v>332</v>
      </c>
      <c r="B163" t="s">
        <v>333</v>
      </c>
      <c r="C163">
        <v>40263</v>
      </c>
      <c r="D163" s="7" t="s">
        <v>333</v>
      </c>
    </row>
    <row r="164" spans="1:4">
      <c r="A164" t="s">
        <v>334</v>
      </c>
      <c r="B164" t="s">
        <v>335</v>
      </c>
      <c r="C164">
        <v>10</v>
      </c>
      <c r="D164" s="7" t="s">
        <v>335</v>
      </c>
    </row>
    <row r="165" spans="1:4">
      <c r="A165" t="s">
        <v>336</v>
      </c>
      <c r="B165" t="s">
        <v>337</v>
      </c>
      <c r="C165">
        <v>8</v>
      </c>
      <c r="D165" s="7" t="s">
        <v>337</v>
      </c>
    </row>
    <row r="166" spans="1:4">
      <c r="A166" t="s">
        <v>338</v>
      </c>
      <c r="B166" t="s">
        <v>339</v>
      </c>
      <c r="C166">
        <v>31</v>
      </c>
      <c r="D166" s="7" t="s">
        <v>337</v>
      </c>
    </row>
    <row r="167" spans="1:4">
      <c r="A167" t="s">
        <v>340</v>
      </c>
      <c r="B167" t="s">
        <v>341</v>
      </c>
      <c r="C167">
        <v>14791</v>
      </c>
      <c r="D167" s="7" t="s">
        <v>342</v>
      </c>
    </row>
    <row r="168" spans="1:4">
      <c r="A168" t="s">
        <v>343</v>
      </c>
      <c r="B168" t="s">
        <v>344</v>
      </c>
      <c r="C168">
        <v>45</v>
      </c>
      <c r="D168" s="7" t="s">
        <v>342</v>
      </c>
    </row>
    <row r="169" spans="1:4">
      <c r="A169" t="s">
        <v>345</v>
      </c>
      <c r="B169" t="s">
        <v>346</v>
      </c>
      <c r="C169">
        <v>18748</v>
      </c>
      <c r="D169" s="7" t="s">
        <v>342</v>
      </c>
    </row>
    <row r="170" spans="1:4">
      <c r="A170" t="s">
        <v>347</v>
      </c>
      <c r="B170" t="s">
        <v>348</v>
      </c>
      <c r="C170">
        <v>104</v>
      </c>
      <c r="D170" s="7" t="s">
        <v>342</v>
      </c>
    </row>
    <row r="171" spans="1:4">
      <c r="A171" t="s">
        <v>349</v>
      </c>
      <c r="B171" t="s">
        <v>350</v>
      </c>
      <c r="C171">
        <v>3927</v>
      </c>
      <c r="D171" s="7" t="s">
        <v>342</v>
      </c>
    </row>
    <row r="172" spans="1:4">
      <c r="A172" t="s">
        <v>351</v>
      </c>
      <c r="B172" t="s">
        <v>352</v>
      </c>
      <c r="C172">
        <v>7</v>
      </c>
      <c r="D172" s="7" t="s">
        <v>342</v>
      </c>
    </row>
    <row r="173" spans="1:4">
      <c r="A173" t="s">
        <v>353</v>
      </c>
      <c r="B173" t="s">
        <v>354</v>
      </c>
      <c r="C173">
        <v>1</v>
      </c>
      <c r="D173" s="7" t="s">
        <v>342</v>
      </c>
    </row>
    <row r="174" spans="1:4">
      <c r="A174" t="s">
        <v>355</v>
      </c>
      <c r="B174" t="s">
        <v>356</v>
      </c>
      <c r="C174">
        <v>5</v>
      </c>
      <c r="D174" s="7" t="s">
        <v>342</v>
      </c>
    </row>
    <row r="175" spans="1:4">
      <c r="A175" t="s">
        <v>357</v>
      </c>
      <c r="B175" t="s">
        <v>358</v>
      </c>
      <c r="C175">
        <v>2</v>
      </c>
      <c r="D175" s="7" t="s">
        <v>342</v>
      </c>
    </row>
    <row r="176" spans="1:4">
      <c r="A176" t="s">
        <v>359</v>
      </c>
      <c r="B176" t="s">
        <v>360</v>
      </c>
      <c r="C176">
        <v>44819</v>
      </c>
      <c r="D176" s="7" t="s">
        <v>342</v>
      </c>
    </row>
    <row r="177" spans="1:4">
      <c r="A177" t="s">
        <v>361</v>
      </c>
      <c r="B177" t="s">
        <v>362</v>
      </c>
      <c r="C177">
        <v>226</v>
      </c>
      <c r="D177" s="7" t="s">
        <v>342</v>
      </c>
    </row>
    <row r="178" spans="1:4">
      <c r="A178" t="s">
        <v>363</v>
      </c>
      <c r="B178" t="s">
        <v>364</v>
      </c>
      <c r="C178">
        <v>25095</v>
      </c>
      <c r="D178" s="7" t="s">
        <v>342</v>
      </c>
    </row>
    <row r="179" spans="1:4">
      <c r="A179" t="s">
        <v>365</v>
      </c>
      <c r="B179" t="s">
        <v>366</v>
      </c>
      <c r="C179">
        <v>233</v>
      </c>
      <c r="D179" s="7" t="s">
        <v>342</v>
      </c>
    </row>
    <row r="180" spans="1:4">
      <c r="A180" t="s">
        <v>367</v>
      </c>
      <c r="B180" t="s">
        <v>368</v>
      </c>
      <c r="C180">
        <v>28026</v>
      </c>
      <c r="D180" s="7" t="s">
        <v>342</v>
      </c>
    </row>
    <row r="181" spans="1:4">
      <c r="A181" t="s">
        <v>369</v>
      </c>
      <c r="B181" t="s">
        <v>370</v>
      </c>
      <c r="C181">
        <v>120064</v>
      </c>
      <c r="D181" s="7" t="s">
        <v>371</v>
      </c>
    </row>
    <row r="182" spans="1:4">
      <c r="A182" t="s">
        <v>372</v>
      </c>
      <c r="B182" t="s">
        <v>373</v>
      </c>
      <c r="C182">
        <v>1622</v>
      </c>
      <c r="D182" s="7" t="s">
        <v>371</v>
      </c>
    </row>
    <row r="183" spans="1:4">
      <c r="A183" t="s">
        <v>374</v>
      </c>
      <c r="B183" t="s">
        <v>375</v>
      </c>
      <c r="C183">
        <v>2778</v>
      </c>
      <c r="D183" s="7" t="s">
        <v>371</v>
      </c>
    </row>
    <row r="184" spans="1:4">
      <c r="A184" t="s">
        <v>376</v>
      </c>
      <c r="B184" t="s">
        <v>377</v>
      </c>
      <c r="C184">
        <v>41</v>
      </c>
      <c r="D184" s="7" t="s">
        <v>371</v>
      </c>
    </row>
    <row r="185" spans="1:4">
      <c r="A185" t="s">
        <v>378</v>
      </c>
      <c r="B185" t="s">
        <v>379</v>
      </c>
      <c r="C185">
        <v>2788</v>
      </c>
      <c r="D185" s="7" t="s">
        <v>371</v>
      </c>
    </row>
    <row r="186" spans="1:4">
      <c r="A186" t="s">
        <v>380</v>
      </c>
      <c r="B186" t="s">
        <v>381</v>
      </c>
      <c r="C186">
        <v>10</v>
      </c>
      <c r="D186" s="7" t="s">
        <v>371</v>
      </c>
    </row>
    <row r="187" spans="1:4">
      <c r="A187" t="s">
        <v>382</v>
      </c>
      <c r="B187" t="s">
        <v>383</v>
      </c>
      <c r="C187">
        <v>69</v>
      </c>
      <c r="D187" s="7" t="s">
        <v>371</v>
      </c>
    </row>
    <row r="188" spans="1:4">
      <c r="A188" t="s">
        <v>384</v>
      </c>
      <c r="B188" t="s">
        <v>385</v>
      </c>
      <c r="C188">
        <v>96533</v>
      </c>
      <c r="D188" s="7" t="s">
        <v>371</v>
      </c>
    </row>
    <row r="189" spans="1:4">
      <c r="A189" t="s">
        <v>386</v>
      </c>
      <c r="B189" t="s">
        <v>387</v>
      </c>
      <c r="C189">
        <v>5381</v>
      </c>
      <c r="D189" s="7" t="s">
        <v>371</v>
      </c>
    </row>
    <row r="190" spans="1:4">
      <c r="A190" t="s">
        <v>388</v>
      </c>
      <c r="B190" t="s">
        <v>389</v>
      </c>
      <c r="C190">
        <v>7667</v>
      </c>
      <c r="D190" s="7" t="s">
        <v>371</v>
      </c>
    </row>
    <row r="191" spans="1:4">
      <c r="A191" t="s">
        <v>390</v>
      </c>
      <c r="B191" t="s">
        <v>391</v>
      </c>
      <c r="C191">
        <v>26</v>
      </c>
      <c r="D191" s="7" t="s">
        <v>371</v>
      </c>
    </row>
    <row r="192" spans="1:4">
      <c r="A192" t="s">
        <v>392</v>
      </c>
      <c r="B192" t="s">
        <v>393</v>
      </c>
      <c r="C192">
        <v>5295</v>
      </c>
      <c r="D192" s="7" t="s">
        <v>371</v>
      </c>
    </row>
    <row r="193" spans="1:4">
      <c r="A193" t="s">
        <v>394</v>
      </c>
      <c r="B193" t="s">
        <v>395</v>
      </c>
      <c r="C193">
        <v>50</v>
      </c>
      <c r="D193" s="7" t="s">
        <v>371</v>
      </c>
    </row>
    <row r="194" spans="1:4">
      <c r="A194" t="s">
        <v>396</v>
      </c>
      <c r="B194" t="s">
        <v>397</v>
      </c>
      <c r="C194">
        <v>329</v>
      </c>
      <c r="D194" s="7" t="s">
        <v>371</v>
      </c>
    </row>
    <row r="195" spans="1:4">
      <c r="A195" t="s">
        <v>398</v>
      </c>
      <c r="B195" t="s">
        <v>399</v>
      </c>
      <c r="C195">
        <v>322</v>
      </c>
      <c r="D195" s="7" t="s">
        <v>371</v>
      </c>
    </row>
    <row r="196" spans="1:4">
      <c r="A196" t="s">
        <v>400</v>
      </c>
      <c r="B196" t="s">
        <v>401</v>
      </c>
      <c r="C196">
        <v>35653</v>
      </c>
      <c r="D196" s="7" t="s">
        <v>371</v>
      </c>
    </row>
    <row r="197" spans="1:4">
      <c r="A197" t="s">
        <v>402</v>
      </c>
      <c r="B197" t="s">
        <v>403</v>
      </c>
      <c r="C197">
        <v>199</v>
      </c>
      <c r="D197" s="7" t="s">
        <v>371</v>
      </c>
    </row>
    <row r="198" spans="1:4">
      <c r="A198" t="s">
        <v>404</v>
      </c>
      <c r="B198" t="s">
        <v>405</v>
      </c>
      <c r="C198">
        <v>694</v>
      </c>
      <c r="D198" s="7" t="s">
        <v>371</v>
      </c>
    </row>
    <row r="199" spans="1:4">
      <c r="A199" t="s">
        <v>406</v>
      </c>
      <c r="B199" t="s">
        <v>407</v>
      </c>
      <c r="C199">
        <v>1460</v>
      </c>
      <c r="D199" s="7" t="s">
        <v>371</v>
      </c>
    </row>
    <row r="200" spans="1:4">
      <c r="A200" t="s">
        <v>408</v>
      </c>
      <c r="B200" t="s">
        <v>409</v>
      </c>
      <c r="C200">
        <v>3725</v>
      </c>
      <c r="D200" s="7" t="s">
        <v>371</v>
      </c>
    </row>
    <row r="201" spans="1:4">
      <c r="A201" t="s">
        <v>410</v>
      </c>
      <c r="B201" t="s">
        <v>411</v>
      </c>
      <c r="C201">
        <v>1025</v>
      </c>
      <c r="D201" s="7" t="s">
        <v>371</v>
      </c>
    </row>
    <row r="202" spans="1:4">
      <c r="A202" t="s">
        <v>412</v>
      </c>
      <c r="B202" t="s">
        <v>413</v>
      </c>
      <c r="C202">
        <v>207</v>
      </c>
      <c r="D202" s="7" t="s">
        <v>371</v>
      </c>
    </row>
    <row r="203" spans="1:4">
      <c r="A203" t="s">
        <v>414</v>
      </c>
      <c r="B203" t="s">
        <v>415</v>
      </c>
      <c r="C203">
        <v>6</v>
      </c>
      <c r="D203" s="7" t="s">
        <v>371</v>
      </c>
    </row>
    <row r="204" spans="1:4">
      <c r="A204" t="s">
        <v>416</v>
      </c>
      <c r="B204" t="s">
        <v>417</v>
      </c>
      <c r="C204">
        <v>5</v>
      </c>
      <c r="D204" s="7" t="s">
        <v>371</v>
      </c>
    </row>
    <row r="205" spans="1:4">
      <c r="A205" t="s">
        <v>418</v>
      </c>
      <c r="B205" t="s">
        <v>419</v>
      </c>
      <c r="C205">
        <v>77</v>
      </c>
      <c r="D205" s="7" t="s">
        <v>419</v>
      </c>
    </row>
    <row r="206" spans="1:4">
      <c r="A206" t="s">
        <v>420</v>
      </c>
      <c r="B206" t="s">
        <v>421</v>
      </c>
      <c r="C206">
        <v>2</v>
      </c>
      <c r="D206" s="7" t="s">
        <v>421</v>
      </c>
    </row>
    <row r="207" spans="1:4">
      <c r="A207" t="s">
        <v>422</v>
      </c>
      <c r="B207" t="s">
        <v>423</v>
      </c>
      <c r="C207">
        <v>49</v>
      </c>
      <c r="D207" s="7" t="s">
        <v>423</v>
      </c>
    </row>
    <row r="208" spans="1:4">
      <c r="A208" t="s">
        <v>424</v>
      </c>
      <c r="B208" t="s">
        <v>425</v>
      </c>
      <c r="C208">
        <v>1027</v>
      </c>
      <c r="D208" s="7" t="s">
        <v>426</v>
      </c>
    </row>
    <row r="209" spans="1:4">
      <c r="A209" t="s">
        <v>427</v>
      </c>
      <c r="B209" t="s">
        <v>428</v>
      </c>
      <c r="C209">
        <v>58</v>
      </c>
      <c r="D209" s="7" t="s">
        <v>426</v>
      </c>
    </row>
    <row r="210" spans="1:4">
      <c r="A210" t="s">
        <v>429</v>
      </c>
      <c r="B210" t="s">
        <v>430</v>
      </c>
      <c r="C210">
        <v>26</v>
      </c>
      <c r="D210" s="7" t="s">
        <v>426</v>
      </c>
    </row>
    <row r="211" spans="1:4">
      <c r="A211" t="s">
        <v>431</v>
      </c>
      <c r="B211" t="s">
        <v>432</v>
      </c>
      <c r="C211">
        <v>24</v>
      </c>
      <c r="D211" s="7" t="s">
        <v>433</v>
      </c>
    </row>
    <row r="212" spans="1:4">
      <c r="A212" t="s">
        <v>434</v>
      </c>
      <c r="B212" t="s">
        <v>435</v>
      </c>
      <c r="C212">
        <v>334</v>
      </c>
      <c r="D212" s="7" t="s">
        <v>433</v>
      </c>
    </row>
    <row r="213" spans="1:4">
      <c r="A213" t="s">
        <v>436</v>
      </c>
      <c r="B213" t="s">
        <v>437</v>
      </c>
      <c r="C213">
        <v>40</v>
      </c>
      <c r="D213" s="7" t="s">
        <v>433</v>
      </c>
    </row>
    <row r="214" spans="1:4">
      <c r="A214" t="s">
        <v>438</v>
      </c>
      <c r="B214" t="s">
        <v>439</v>
      </c>
      <c r="C214">
        <v>41</v>
      </c>
      <c r="D214" s="7" t="s">
        <v>433</v>
      </c>
    </row>
    <row r="215" spans="1:4">
      <c r="A215" t="s">
        <v>440</v>
      </c>
      <c r="B215" t="s">
        <v>441</v>
      </c>
      <c r="C215">
        <v>556</v>
      </c>
      <c r="D215" s="7" t="s">
        <v>433</v>
      </c>
    </row>
    <row r="216" spans="1:4">
      <c r="A216" t="s">
        <v>442</v>
      </c>
      <c r="B216" t="s">
        <v>443</v>
      </c>
      <c r="C216">
        <v>790</v>
      </c>
      <c r="D216" s="7" t="s">
        <v>433</v>
      </c>
    </row>
    <row r="217" spans="1:4">
      <c r="A217" t="s">
        <v>444</v>
      </c>
      <c r="B217" t="s">
        <v>445</v>
      </c>
      <c r="C217">
        <v>6</v>
      </c>
      <c r="D217" s="7" t="s">
        <v>433</v>
      </c>
    </row>
    <row r="218" spans="1:4">
      <c r="A218" t="s">
        <v>446</v>
      </c>
      <c r="B218" t="s">
        <v>447</v>
      </c>
      <c r="C218">
        <v>2</v>
      </c>
      <c r="D218" s="7" t="s">
        <v>433</v>
      </c>
    </row>
    <row r="219" spans="1:4">
      <c r="A219" t="s">
        <v>448</v>
      </c>
      <c r="B219" t="s">
        <v>449</v>
      </c>
      <c r="C219">
        <v>12</v>
      </c>
      <c r="D219" s="7" t="s">
        <v>433</v>
      </c>
    </row>
    <row r="220" spans="1:4">
      <c r="A220" t="s">
        <v>450</v>
      </c>
      <c r="B220" t="s">
        <v>451</v>
      </c>
      <c r="C220">
        <v>17</v>
      </c>
      <c r="D220" s="7" t="s">
        <v>433</v>
      </c>
    </row>
    <row r="221" spans="1:4">
      <c r="A221" t="s">
        <v>452</v>
      </c>
      <c r="B221" t="s">
        <v>453</v>
      </c>
      <c r="C221">
        <v>7437</v>
      </c>
      <c r="D221" s="7" t="s">
        <v>433</v>
      </c>
    </row>
    <row r="222" spans="1:4">
      <c r="A222" t="s">
        <v>454</v>
      </c>
      <c r="B222" t="s">
        <v>455</v>
      </c>
      <c r="C222">
        <v>265</v>
      </c>
      <c r="D222" s="7" t="s">
        <v>433</v>
      </c>
    </row>
    <row r="223" spans="1:4">
      <c r="A223" t="s">
        <v>456</v>
      </c>
      <c r="B223" t="s">
        <v>457</v>
      </c>
      <c r="C223">
        <v>43</v>
      </c>
      <c r="D223" s="7" t="s">
        <v>433</v>
      </c>
    </row>
    <row r="224" spans="1:4">
      <c r="A224" t="s">
        <v>458</v>
      </c>
      <c r="B224" t="s">
        <v>459</v>
      </c>
      <c r="C224">
        <v>59</v>
      </c>
      <c r="D224" s="7" t="s">
        <v>433</v>
      </c>
    </row>
    <row r="225" spans="1:4">
      <c r="A225" t="s">
        <v>460</v>
      </c>
      <c r="B225" t="s">
        <v>461</v>
      </c>
      <c r="C225">
        <v>656</v>
      </c>
      <c r="D225" s="7" t="s">
        <v>433</v>
      </c>
    </row>
    <row r="226" spans="1:4">
      <c r="A226" t="s">
        <v>462</v>
      </c>
      <c r="B226" t="s">
        <v>463</v>
      </c>
      <c r="C226">
        <v>17</v>
      </c>
      <c r="D226" s="7" t="s">
        <v>433</v>
      </c>
    </row>
    <row r="227" spans="1:4">
      <c r="A227" t="s">
        <v>464</v>
      </c>
      <c r="B227" t="s">
        <v>465</v>
      </c>
      <c r="C227">
        <v>798</v>
      </c>
      <c r="D227" s="7" t="s">
        <v>433</v>
      </c>
    </row>
    <row r="228" spans="1:4">
      <c r="A228" t="s">
        <v>466</v>
      </c>
      <c r="B228" t="s">
        <v>467</v>
      </c>
      <c r="C228">
        <v>54</v>
      </c>
      <c r="D228" s="7" t="s">
        <v>433</v>
      </c>
    </row>
    <row r="229" spans="1:4">
      <c r="A229" t="s">
        <v>468</v>
      </c>
      <c r="B229" t="s">
        <v>469</v>
      </c>
      <c r="C229">
        <v>635</v>
      </c>
      <c r="D229" s="7" t="s">
        <v>433</v>
      </c>
    </row>
    <row r="230" spans="1:4">
      <c r="A230" t="s">
        <v>470</v>
      </c>
      <c r="B230" t="s">
        <v>471</v>
      </c>
      <c r="C230">
        <v>584</v>
      </c>
      <c r="D230" s="7" t="s">
        <v>433</v>
      </c>
    </row>
    <row r="231" spans="1:4">
      <c r="A231" t="s">
        <v>472</v>
      </c>
      <c r="B231" t="s">
        <v>473</v>
      </c>
      <c r="C231">
        <v>7</v>
      </c>
      <c r="D231" s="7" t="s">
        <v>433</v>
      </c>
    </row>
    <row r="232" spans="1:4">
      <c r="A232" t="s">
        <v>474</v>
      </c>
      <c r="B232" t="s">
        <v>475</v>
      </c>
      <c r="C232">
        <v>70</v>
      </c>
      <c r="D232" s="7" t="s">
        <v>433</v>
      </c>
    </row>
    <row r="233" spans="1:4">
      <c r="A233" t="s">
        <v>476</v>
      </c>
      <c r="B233" t="s">
        <v>477</v>
      </c>
      <c r="C233">
        <v>2222</v>
      </c>
      <c r="D233" s="7" t="s">
        <v>433</v>
      </c>
    </row>
    <row r="234" spans="1:4">
      <c r="A234" t="s">
        <v>478</v>
      </c>
      <c r="B234" t="s">
        <v>479</v>
      </c>
      <c r="C234">
        <v>173</v>
      </c>
      <c r="D234" s="7" t="s">
        <v>433</v>
      </c>
    </row>
    <row r="235" spans="1:4">
      <c r="A235" t="s">
        <v>480</v>
      </c>
      <c r="B235" t="s">
        <v>479</v>
      </c>
      <c r="C235">
        <v>173</v>
      </c>
      <c r="D235" s="7" t="s">
        <v>433</v>
      </c>
    </row>
    <row r="236" spans="1:4">
      <c r="A236" t="s">
        <v>481</v>
      </c>
      <c r="B236" t="s">
        <v>482</v>
      </c>
      <c r="C236">
        <v>138</v>
      </c>
      <c r="D236" s="7" t="s">
        <v>433</v>
      </c>
    </row>
    <row r="237" spans="1:4">
      <c r="A237" t="s">
        <v>483</v>
      </c>
      <c r="B237" t="s">
        <v>484</v>
      </c>
      <c r="C237">
        <v>2</v>
      </c>
      <c r="D237" s="7" t="s">
        <v>433</v>
      </c>
    </row>
    <row r="238" spans="1:4">
      <c r="A238" t="s">
        <v>485</v>
      </c>
      <c r="B238" t="s">
        <v>486</v>
      </c>
      <c r="C238">
        <v>602</v>
      </c>
      <c r="D238" s="7" t="s">
        <v>433</v>
      </c>
    </row>
    <row r="239" spans="1:4">
      <c r="A239" t="s">
        <v>487</v>
      </c>
      <c r="B239" t="s">
        <v>488</v>
      </c>
      <c r="C239">
        <v>18</v>
      </c>
      <c r="D239" s="7" t="s">
        <v>433</v>
      </c>
    </row>
    <row r="240" spans="1:4">
      <c r="A240" t="s">
        <v>489</v>
      </c>
      <c r="B240" t="s">
        <v>490</v>
      </c>
      <c r="C240">
        <v>1111</v>
      </c>
      <c r="D240" s="7" t="s">
        <v>433</v>
      </c>
    </row>
    <row r="241" spans="1:4">
      <c r="A241" t="s">
        <v>491</v>
      </c>
      <c r="B241" t="s">
        <v>492</v>
      </c>
      <c r="C241">
        <v>289</v>
      </c>
      <c r="D241" s="7" t="s">
        <v>433</v>
      </c>
    </row>
    <row r="242" spans="1:4">
      <c r="A242" t="s">
        <v>493</v>
      </c>
      <c r="B242" t="s">
        <v>494</v>
      </c>
      <c r="C242">
        <v>3</v>
      </c>
      <c r="D242" s="7" t="s">
        <v>494</v>
      </c>
    </row>
    <row r="243" spans="1:4">
      <c r="A243" t="s">
        <v>495</v>
      </c>
      <c r="B243" t="s">
        <v>496</v>
      </c>
      <c r="C243">
        <v>3745</v>
      </c>
      <c r="D243" s="7" t="s">
        <v>497</v>
      </c>
    </row>
    <row r="244" spans="1:4">
      <c r="A244" t="s">
        <v>498</v>
      </c>
      <c r="B244" t="s">
        <v>499</v>
      </c>
      <c r="C244">
        <v>22</v>
      </c>
      <c r="D244" s="7" t="s">
        <v>497</v>
      </c>
    </row>
    <row r="245" spans="1:4">
      <c r="A245" t="s">
        <v>500</v>
      </c>
      <c r="B245" t="s">
        <v>501</v>
      </c>
      <c r="C245">
        <v>877</v>
      </c>
      <c r="D245" s="7" t="s">
        <v>497</v>
      </c>
    </row>
    <row r="246" spans="1:4">
      <c r="A246" t="s">
        <v>502</v>
      </c>
      <c r="B246" t="s">
        <v>503</v>
      </c>
      <c r="C246">
        <v>32</v>
      </c>
      <c r="D246" s="7" t="s">
        <v>497</v>
      </c>
    </row>
    <row r="247" spans="1:4">
      <c r="A247" t="s">
        <v>504</v>
      </c>
      <c r="B247" t="s">
        <v>505</v>
      </c>
      <c r="C247">
        <v>104</v>
      </c>
      <c r="D247" s="7" t="s">
        <v>497</v>
      </c>
    </row>
    <row r="248" spans="1:4">
      <c r="A248" t="s">
        <v>506</v>
      </c>
      <c r="B248" t="s">
        <v>507</v>
      </c>
      <c r="C248">
        <v>65443</v>
      </c>
      <c r="D248" s="7" t="s">
        <v>507</v>
      </c>
    </row>
    <row r="249" spans="1:4">
      <c r="A249" t="s">
        <v>508</v>
      </c>
      <c r="B249" t="s">
        <v>509</v>
      </c>
      <c r="C249">
        <v>28</v>
      </c>
      <c r="D249" s="7" t="s">
        <v>509</v>
      </c>
    </row>
    <row r="250" spans="1:4">
      <c r="A250" t="s">
        <v>510</v>
      </c>
      <c r="B250" t="s">
        <v>511</v>
      </c>
      <c r="C250">
        <v>122708</v>
      </c>
      <c r="D250" s="7" t="s">
        <v>512</v>
      </c>
    </row>
    <row r="251" spans="1:4">
      <c r="A251" t="s">
        <v>513</v>
      </c>
      <c r="B251" t="s">
        <v>514</v>
      </c>
      <c r="C251">
        <v>245</v>
      </c>
      <c r="D251" s="7" t="s">
        <v>512</v>
      </c>
    </row>
    <row r="252" spans="1:4">
      <c r="A252" t="s">
        <v>515</v>
      </c>
      <c r="B252" t="s">
        <v>516</v>
      </c>
      <c r="C252">
        <v>33543</v>
      </c>
      <c r="D252" s="7" t="s">
        <v>512</v>
      </c>
    </row>
    <row r="253" spans="1:4">
      <c r="A253" t="s">
        <v>517</v>
      </c>
      <c r="B253" t="s">
        <v>518</v>
      </c>
      <c r="C253">
        <v>363</v>
      </c>
      <c r="D253" s="7" t="s">
        <v>512</v>
      </c>
    </row>
    <row r="254" spans="1:4">
      <c r="A254" t="s">
        <v>519</v>
      </c>
      <c r="B254" t="s">
        <v>520</v>
      </c>
      <c r="C254">
        <v>965</v>
      </c>
      <c r="D254" s="7" t="s">
        <v>512</v>
      </c>
    </row>
    <row r="255" spans="1:4">
      <c r="A255" t="s">
        <v>521</v>
      </c>
      <c r="B255" t="s">
        <v>522</v>
      </c>
      <c r="C255">
        <v>3549</v>
      </c>
      <c r="D255" s="7" t="s">
        <v>512</v>
      </c>
    </row>
    <row r="256" spans="1:4">
      <c r="A256" t="s">
        <v>523</v>
      </c>
      <c r="B256" t="s">
        <v>524</v>
      </c>
      <c r="C256">
        <v>157</v>
      </c>
      <c r="D256" s="7" t="s">
        <v>512</v>
      </c>
    </row>
    <row r="257" spans="1:4">
      <c r="A257" t="s">
        <v>525</v>
      </c>
      <c r="B257" t="s">
        <v>526</v>
      </c>
      <c r="C257">
        <v>5934</v>
      </c>
      <c r="D257" s="7" t="s">
        <v>512</v>
      </c>
    </row>
    <row r="258" spans="1:4">
      <c r="A258" t="s">
        <v>527</v>
      </c>
      <c r="B258" t="s">
        <v>528</v>
      </c>
      <c r="C258">
        <v>218</v>
      </c>
      <c r="D258" s="7" t="s">
        <v>512</v>
      </c>
    </row>
    <row r="259" spans="1:4">
      <c r="A259" t="s">
        <v>529</v>
      </c>
      <c r="B259" t="s">
        <v>530</v>
      </c>
      <c r="C259">
        <v>388</v>
      </c>
      <c r="D259" s="7" t="s">
        <v>512</v>
      </c>
    </row>
    <row r="260" spans="1:4">
      <c r="A260" t="s">
        <v>531</v>
      </c>
      <c r="B260" t="s">
        <v>532</v>
      </c>
      <c r="C260">
        <v>2456</v>
      </c>
      <c r="D260" s="7" t="s">
        <v>512</v>
      </c>
    </row>
    <row r="261" spans="1:4">
      <c r="A261" t="s">
        <v>533</v>
      </c>
      <c r="B261" t="s">
        <v>534</v>
      </c>
      <c r="C261">
        <v>24</v>
      </c>
      <c r="D261" s="7" t="s">
        <v>512</v>
      </c>
    </row>
    <row r="262" spans="1:4">
      <c r="A262" t="s">
        <v>535</v>
      </c>
      <c r="B262" t="s">
        <v>536</v>
      </c>
      <c r="C262">
        <v>4165</v>
      </c>
      <c r="D262" s="7" t="s">
        <v>512</v>
      </c>
    </row>
    <row r="263" spans="1:4">
      <c r="A263" t="s">
        <v>537</v>
      </c>
      <c r="B263" t="s">
        <v>538</v>
      </c>
      <c r="C263">
        <v>154</v>
      </c>
      <c r="D263" s="7" t="s">
        <v>512</v>
      </c>
    </row>
    <row r="264" spans="1:4">
      <c r="A264" t="s">
        <v>539</v>
      </c>
      <c r="B264" t="s">
        <v>540</v>
      </c>
      <c r="C264">
        <v>1043</v>
      </c>
      <c r="D264" s="7" t="s">
        <v>512</v>
      </c>
    </row>
    <row r="265" spans="1:4">
      <c r="A265" t="s">
        <v>541</v>
      </c>
      <c r="B265" t="s">
        <v>542</v>
      </c>
      <c r="C265">
        <v>3774</v>
      </c>
      <c r="D265" s="7" t="s">
        <v>512</v>
      </c>
    </row>
    <row r="266" spans="1:4">
      <c r="A266" t="s">
        <v>543</v>
      </c>
      <c r="B266" t="s">
        <v>544</v>
      </c>
      <c r="C266">
        <v>1123</v>
      </c>
      <c r="D266" s="7" t="s">
        <v>512</v>
      </c>
    </row>
    <row r="267" spans="1:4">
      <c r="A267" t="s">
        <v>545</v>
      </c>
      <c r="B267" t="s">
        <v>546</v>
      </c>
      <c r="C267">
        <v>23</v>
      </c>
      <c r="D267" s="7" t="s">
        <v>512</v>
      </c>
    </row>
    <row r="268" spans="1:4">
      <c r="A268" t="s">
        <v>547</v>
      </c>
      <c r="B268" t="s">
        <v>548</v>
      </c>
      <c r="C268">
        <v>180</v>
      </c>
      <c r="D268" s="7" t="s">
        <v>512</v>
      </c>
    </row>
    <row r="269" spans="1:4">
      <c r="A269" t="s">
        <v>549</v>
      </c>
      <c r="B269" t="s">
        <v>550</v>
      </c>
      <c r="C269">
        <v>4155</v>
      </c>
      <c r="D269" s="7" t="s">
        <v>512</v>
      </c>
    </row>
    <row r="270" spans="1:4">
      <c r="A270" t="s">
        <v>551</v>
      </c>
      <c r="B270" t="s">
        <v>552</v>
      </c>
      <c r="C270">
        <v>2</v>
      </c>
      <c r="D270" s="7" t="s">
        <v>512</v>
      </c>
    </row>
    <row r="271" spans="1:4">
      <c r="A271" t="s">
        <v>553</v>
      </c>
      <c r="B271" t="s">
        <v>554</v>
      </c>
      <c r="C271">
        <v>5543</v>
      </c>
      <c r="D271" s="7" t="s">
        <v>512</v>
      </c>
    </row>
    <row r="272" spans="1:4">
      <c r="A272" t="s">
        <v>555</v>
      </c>
      <c r="B272" t="s">
        <v>556</v>
      </c>
      <c r="C272">
        <v>20</v>
      </c>
      <c r="D272" s="7" t="s">
        <v>512</v>
      </c>
    </row>
    <row r="273" spans="1:4">
      <c r="A273" t="s">
        <v>557</v>
      </c>
      <c r="B273" t="s">
        <v>558</v>
      </c>
      <c r="C273">
        <v>2716</v>
      </c>
      <c r="D273" s="7" t="s">
        <v>512</v>
      </c>
    </row>
    <row r="274" spans="1:4">
      <c r="A274" t="s">
        <v>559</v>
      </c>
      <c r="B274" t="s">
        <v>560</v>
      </c>
      <c r="C274">
        <v>616</v>
      </c>
      <c r="D274" s="7" t="s">
        <v>512</v>
      </c>
    </row>
    <row r="275" spans="1:4">
      <c r="A275" t="s">
        <v>561</v>
      </c>
      <c r="B275" t="s">
        <v>562</v>
      </c>
      <c r="C275">
        <v>5</v>
      </c>
      <c r="D275" s="7" t="s">
        <v>512</v>
      </c>
    </row>
    <row r="276" spans="1:4">
      <c r="A276" t="s">
        <v>563</v>
      </c>
      <c r="B276" t="s">
        <v>564</v>
      </c>
      <c r="C276">
        <v>1292</v>
      </c>
      <c r="D276" s="7" t="s">
        <v>512</v>
      </c>
    </row>
    <row r="277" spans="1:4">
      <c r="A277" t="s">
        <v>565</v>
      </c>
      <c r="B277" t="s">
        <v>566</v>
      </c>
      <c r="C277">
        <v>1195</v>
      </c>
      <c r="D277" s="7" t="s">
        <v>512</v>
      </c>
    </row>
    <row r="278" spans="1:4">
      <c r="A278" t="s">
        <v>567</v>
      </c>
      <c r="B278" t="s">
        <v>566</v>
      </c>
      <c r="C278">
        <v>1195</v>
      </c>
      <c r="D278" s="7" t="s">
        <v>512</v>
      </c>
    </row>
    <row r="279" spans="1:4">
      <c r="A279" t="s">
        <v>568</v>
      </c>
      <c r="B279" t="s">
        <v>569</v>
      </c>
      <c r="C279">
        <v>14</v>
      </c>
      <c r="D279" s="7" t="s">
        <v>512</v>
      </c>
    </row>
    <row r="280" spans="1:4">
      <c r="A280" t="s">
        <v>570</v>
      </c>
      <c r="B280" t="s">
        <v>571</v>
      </c>
      <c r="C280">
        <v>8754</v>
      </c>
      <c r="D280" s="7" t="s">
        <v>512</v>
      </c>
    </row>
    <row r="281" spans="1:4">
      <c r="A281" t="s">
        <v>572</v>
      </c>
      <c r="B281" t="s">
        <v>573</v>
      </c>
      <c r="C281">
        <v>8851</v>
      </c>
      <c r="D281" s="7" t="s">
        <v>512</v>
      </c>
    </row>
    <row r="282" spans="1:4">
      <c r="A282" t="s">
        <v>574</v>
      </c>
      <c r="B282" t="s">
        <v>575</v>
      </c>
      <c r="C282">
        <v>8672</v>
      </c>
      <c r="D282" s="7" t="s">
        <v>512</v>
      </c>
    </row>
    <row r="283" spans="1:4">
      <c r="A283" t="s">
        <v>576</v>
      </c>
      <c r="B283" t="s">
        <v>577</v>
      </c>
      <c r="C283">
        <v>105722</v>
      </c>
      <c r="D283" s="7" t="s">
        <v>512</v>
      </c>
    </row>
    <row r="284" spans="1:4">
      <c r="A284" t="s">
        <v>578</v>
      </c>
      <c r="B284" t="s">
        <v>579</v>
      </c>
      <c r="C284">
        <v>1728</v>
      </c>
      <c r="D284" s="7" t="s">
        <v>512</v>
      </c>
    </row>
    <row r="285" spans="1:4">
      <c r="A285" t="s">
        <v>580</v>
      </c>
      <c r="B285" t="s">
        <v>581</v>
      </c>
      <c r="C285">
        <v>4671</v>
      </c>
      <c r="D285" s="7" t="s">
        <v>512</v>
      </c>
    </row>
    <row r="286" spans="1:4">
      <c r="A286" t="s">
        <v>582</v>
      </c>
      <c r="B286" t="s">
        <v>583</v>
      </c>
      <c r="C286">
        <v>55</v>
      </c>
      <c r="D286" s="7" t="s">
        <v>512</v>
      </c>
    </row>
    <row r="287" spans="1:4">
      <c r="A287" t="s">
        <v>584</v>
      </c>
      <c r="B287" t="s">
        <v>585</v>
      </c>
      <c r="C287">
        <v>55</v>
      </c>
      <c r="D287" s="7" t="s">
        <v>512</v>
      </c>
    </row>
    <row r="288" spans="1:4">
      <c r="A288" t="s">
        <v>586</v>
      </c>
      <c r="B288" t="s">
        <v>587</v>
      </c>
      <c r="C288">
        <v>39</v>
      </c>
      <c r="D288" s="7" t="s">
        <v>512</v>
      </c>
    </row>
    <row r="289" spans="1:4">
      <c r="A289" t="s">
        <v>588</v>
      </c>
      <c r="B289" t="s">
        <v>589</v>
      </c>
      <c r="C289">
        <v>10134</v>
      </c>
      <c r="D289" s="7" t="s">
        <v>512</v>
      </c>
    </row>
    <row r="290" spans="1:4">
      <c r="A290" t="s">
        <v>590</v>
      </c>
      <c r="B290" t="s">
        <v>591</v>
      </c>
      <c r="C290">
        <v>160</v>
      </c>
      <c r="D290" s="7" t="s">
        <v>512</v>
      </c>
    </row>
    <row r="291" spans="1:4">
      <c r="A291" t="s">
        <v>592</v>
      </c>
      <c r="B291" t="s">
        <v>593</v>
      </c>
      <c r="C291">
        <v>83587</v>
      </c>
      <c r="D291" s="7" t="s">
        <v>512</v>
      </c>
    </row>
    <row r="292" spans="1:4">
      <c r="A292" t="s">
        <v>594</v>
      </c>
      <c r="B292" t="s">
        <v>595</v>
      </c>
      <c r="C292">
        <v>176</v>
      </c>
      <c r="D292" s="7" t="s">
        <v>512</v>
      </c>
    </row>
    <row r="293" spans="1:4">
      <c r="A293" t="s">
        <v>596</v>
      </c>
      <c r="B293" t="s">
        <v>597</v>
      </c>
      <c r="C293">
        <v>58181</v>
      </c>
      <c r="D293" s="7" t="s">
        <v>512</v>
      </c>
    </row>
    <row r="294" spans="1:4">
      <c r="A294" t="s">
        <v>598</v>
      </c>
      <c r="B294" t="s">
        <v>599</v>
      </c>
      <c r="C294">
        <v>719</v>
      </c>
      <c r="D294" s="7" t="s">
        <v>512</v>
      </c>
    </row>
    <row r="295" spans="1:4">
      <c r="A295" t="s">
        <v>600</v>
      </c>
      <c r="B295" t="s">
        <v>601</v>
      </c>
      <c r="C295">
        <v>3140</v>
      </c>
      <c r="D295" s="7" t="s">
        <v>512</v>
      </c>
    </row>
    <row r="296" spans="1:4">
      <c r="A296" t="s">
        <v>602</v>
      </c>
      <c r="B296" t="s">
        <v>603</v>
      </c>
      <c r="C296">
        <v>184374</v>
      </c>
      <c r="D296" s="7" t="s">
        <v>512</v>
      </c>
    </row>
    <row r="297" spans="1:4">
      <c r="A297" t="s">
        <v>604</v>
      </c>
      <c r="B297" t="s">
        <v>605</v>
      </c>
      <c r="C297">
        <v>7</v>
      </c>
      <c r="D297" s="7" t="s">
        <v>512</v>
      </c>
    </row>
    <row r="298" spans="1:4">
      <c r="A298" t="s">
        <v>606</v>
      </c>
      <c r="B298" t="s">
        <v>607</v>
      </c>
      <c r="C298">
        <v>882</v>
      </c>
      <c r="D298" s="7" t="s">
        <v>608</v>
      </c>
    </row>
    <row r="299" spans="1:4">
      <c r="A299" t="s">
        <v>609</v>
      </c>
      <c r="B299" t="s">
        <v>610</v>
      </c>
      <c r="C299">
        <v>2</v>
      </c>
      <c r="D299" s="7" t="s">
        <v>608</v>
      </c>
    </row>
    <row r="300" spans="1:4">
      <c r="A300" t="s">
        <v>611</v>
      </c>
      <c r="B300" t="s">
        <v>612</v>
      </c>
      <c r="C300">
        <v>1566</v>
      </c>
      <c r="D300" s="7" t="s">
        <v>608</v>
      </c>
    </row>
    <row r="301" spans="1:4">
      <c r="A301" t="s">
        <v>613</v>
      </c>
      <c r="B301" t="s">
        <v>614</v>
      </c>
      <c r="C301">
        <v>5</v>
      </c>
      <c r="D301" s="7" t="s">
        <v>608</v>
      </c>
    </row>
    <row r="302" spans="1:4">
      <c r="A302" t="s">
        <v>615</v>
      </c>
      <c r="B302" t="s">
        <v>616</v>
      </c>
      <c r="C302">
        <v>182</v>
      </c>
      <c r="D302" s="7" t="s">
        <v>608</v>
      </c>
    </row>
    <row r="303" spans="1:4">
      <c r="A303" t="s">
        <v>617</v>
      </c>
      <c r="B303" t="s">
        <v>618</v>
      </c>
      <c r="C303">
        <v>54080</v>
      </c>
      <c r="D303" s="7" t="s">
        <v>608</v>
      </c>
    </row>
    <row r="304" spans="1:4">
      <c r="A304" t="s">
        <v>619</v>
      </c>
      <c r="B304" t="s">
        <v>620</v>
      </c>
      <c r="C304">
        <v>9</v>
      </c>
      <c r="D304" s="7" t="s">
        <v>608</v>
      </c>
    </row>
    <row r="305" spans="1:4">
      <c r="A305" t="s">
        <v>621</v>
      </c>
      <c r="B305" t="s">
        <v>622</v>
      </c>
      <c r="C305">
        <v>14741</v>
      </c>
      <c r="D305" s="7" t="s">
        <v>608</v>
      </c>
    </row>
    <row r="306" spans="1:4">
      <c r="A306" t="s">
        <v>623</v>
      </c>
      <c r="B306" t="s">
        <v>624</v>
      </c>
      <c r="C306">
        <v>33</v>
      </c>
      <c r="D306" s="7" t="s">
        <v>608</v>
      </c>
    </row>
    <row r="307" spans="1:4">
      <c r="A307" t="s">
        <v>625</v>
      </c>
      <c r="B307" t="s">
        <v>626</v>
      </c>
      <c r="C307">
        <v>396</v>
      </c>
      <c r="D307" s="7" t="s">
        <v>608</v>
      </c>
    </row>
    <row r="308" spans="1:4">
      <c r="A308" t="s">
        <v>627</v>
      </c>
      <c r="B308" t="s">
        <v>628</v>
      </c>
      <c r="C308">
        <v>355</v>
      </c>
      <c r="D308" s="7" t="s">
        <v>608</v>
      </c>
    </row>
    <row r="309" spans="1:4">
      <c r="A309" t="s">
        <v>629</v>
      </c>
      <c r="B309" t="s">
        <v>630</v>
      </c>
      <c r="C309">
        <v>29</v>
      </c>
      <c r="D309" s="7" t="s">
        <v>608</v>
      </c>
    </row>
    <row r="310" spans="1:4">
      <c r="A310" t="s">
        <v>631</v>
      </c>
      <c r="B310" t="s">
        <v>632</v>
      </c>
      <c r="C310">
        <v>4198</v>
      </c>
      <c r="D310" s="7" t="s">
        <v>608</v>
      </c>
    </row>
    <row r="311" spans="1:4">
      <c r="A311" t="s">
        <v>633</v>
      </c>
      <c r="B311" t="s">
        <v>634</v>
      </c>
      <c r="C311">
        <v>1</v>
      </c>
      <c r="D311" s="7" t="s">
        <v>608</v>
      </c>
    </row>
    <row r="312" spans="1:4">
      <c r="A312" t="s">
        <v>635</v>
      </c>
      <c r="B312" t="s">
        <v>636</v>
      </c>
      <c r="C312">
        <v>1619</v>
      </c>
      <c r="D312" s="7" t="s">
        <v>608</v>
      </c>
    </row>
    <row r="313" spans="1:4">
      <c r="A313" t="s">
        <v>637</v>
      </c>
      <c r="B313" t="s">
        <v>638</v>
      </c>
      <c r="C313">
        <v>1</v>
      </c>
      <c r="D313" s="7" t="s">
        <v>608</v>
      </c>
    </row>
    <row r="314" spans="1:4">
      <c r="A314" t="s">
        <v>639</v>
      </c>
      <c r="B314" t="s">
        <v>640</v>
      </c>
      <c r="C314">
        <v>1344</v>
      </c>
      <c r="D314" s="7" t="s">
        <v>608</v>
      </c>
    </row>
    <row r="315" spans="1:4">
      <c r="A315" t="s">
        <v>641</v>
      </c>
      <c r="B315" t="s">
        <v>642</v>
      </c>
      <c r="C315">
        <v>12</v>
      </c>
      <c r="D315" s="7" t="s">
        <v>608</v>
      </c>
    </row>
    <row r="316" spans="1:4">
      <c r="A316" t="s">
        <v>643</v>
      </c>
      <c r="B316" t="s">
        <v>644</v>
      </c>
      <c r="C316">
        <v>219</v>
      </c>
      <c r="D316" s="7" t="s">
        <v>608</v>
      </c>
    </row>
    <row r="317" spans="1:4">
      <c r="A317" t="s">
        <v>645</v>
      </c>
      <c r="B317" t="s">
        <v>646</v>
      </c>
      <c r="C317">
        <v>53135</v>
      </c>
      <c r="D317" s="7" t="s">
        <v>608</v>
      </c>
    </row>
    <row r="318" spans="1:4">
      <c r="A318" t="s">
        <v>647</v>
      </c>
      <c r="B318" t="s">
        <v>648</v>
      </c>
      <c r="C318">
        <v>16</v>
      </c>
      <c r="D318" s="7" t="s">
        <v>608</v>
      </c>
    </row>
    <row r="319" spans="1:4">
      <c r="A319" t="s">
        <v>649</v>
      </c>
      <c r="B319" t="s">
        <v>650</v>
      </c>
      <c r="C319">
        <v>36965</v>
      </c>
      <c r="D319" s="7" t="s">
        <v>608</v>
      </c>
    </row>
    <row r="320" spans="1:4">
      <c r="A320" t="s">
        <v>651</v>
      </c>
      <c r="B320" t="s">
        <v>652</v>
      </c>
      <c r="C320">
        <v>282</v>
      </c>
      <c r="D320" s="7" t="s">
        <v>608</v>
      </c>
    </row>
    <row r="321" spans="1:4">
      <c r="A321" t="s">
        <v>653</v>
      </c>
      <c r="B321" t="s">
        <v>654</v>
      </c>
      <c r="C321">
        <v>971</v>
      </c>
      <c r="D321" s="7" t="s">
        <v>608</v>
      </c>
    </row>
    <row r="322" spans="1:4">
      <c r="A322" t="s">
        <v>655</v>
      </c>
      <c r="B322" t="s">
        <v>656</v>
      </c>
      <c r="C322">
        <v>6181</v>
      </c>
      <c r="D322" s="7" t="s">
        <v>608</v>
      </c>
    </row>
    <row r="323" spans="1:4">
      <c r="A323" t="s">
        <v>657</v>
      </c>
      <c r="B323" t="s">
        <v>658</v>
      </c>
      <c r="C323">
        <v>22</v>
      </c>
      <c r="D323" s="7" t="s">
        <v>608</v>
      </c>
    </row>
    <row r="324" spans="1:4">
      <c r="A324" t="s">
        <v>659</v>
      </c>
      <c r="B324" t="s">
        <v>660</v>
      </c>
      <c r="C324">
        <v>27704</v>
      </c>
      <c r="D324" s="7" t="s">
        <v>608</v>
      </c>
    </row>
    <row r="325" spans="1:4">
      <c r="A325" t="s">
        <v>661</v>
      </c>
      <c r="B325" t="s">
        <v>662</v>
      </c>
      <c r="C325">
        <v>7</v>
      </c>
      <c r="D325" s="7" t="s">
        <v>608</v>
      </c>
    </row>
    <row r="326" spans="1:4">
      <c r="A326" t="s">
        <v>663</v>
      </c>
      <c r="B326" t="s">
        <v>664</v>
      </c>
      <c r="C326">
        <v>3</v>
      </c>
      <c r="D326" s="7" t="s">
        <v>608</v>
      </c>
    </row>
    <row r="327" spans="1:4">
      <c r="A327" t="s">
        <v>665</v>
      </c>
      <c r="B327" t="s">
        <v>666</v>
      </c>
      <c r="C327">
        <v>49</v>
      </c>
      <c r="D327" s="7" t="s">
        <v>666</v>
      </c>
    </row>
    <row r="328" spans="1:4">
      <c r="A328" t="s">
        <v>667</v>
      </c>
      <c r="B328" t="s">
        <v>668</v>
      </c>
      <c r="C328">
        <v>7258</v>
      </c>
      <c r="D328" s="7" t="s">
        <v>669</v>
      </c>
    </row>
    <row r="329" spans="1:4">
      <c r="A329" t="s">
        <v>670</v>
      </c>
      <c r="B329" t="s">
        <v>671</v>
      </c>
      <c r="C329">
        <v>47</v>
      </c>
      <c r="D329" s="7" t="s">
        <v>669</v>
      </c>
    </row>
    <row r="330" spans="1:4">
      <c r="A330" t="s">
        <v>672</v>
      </c>
      <c r="B330" t="s">
        <v>673</v>
      </c>
      <c r="C330">
        <v>6698</v>
      </c>
      <c r="D330" s="7" t="s">
        <v>669</v>
      </c>
    </row>
    <row r="331" spans="1:4">
      <c r="A331" t="s">
        <v>674</v>
      </c>
      <c r="B331" t="s">
        <v>675</v>
      </c>
      <c r="C331">
        <v>23</v>
      </c>
      <c r="D331" s="7" t="s">
        <v>669</v>
      </c>
    </row>
    <row r="332" spans="1:4">
      <c r="A332" t="s">
        <v>676</v>
      </c>
      <c r="B332" t="s">
        <v>677</v>
      </c>
      <c r="C332">
        <v>481</v>
      </c>
      <c r="D332" s="7" t="s">
        <v>669</v>
      </c>
    </row>
    <row r="333" spans="1:4">
      <c r="A333" t="s">
        <v>678</v>
      </c>
      <c r="B333" t="s">
        <v>679</v>
      </c>
      <c r="C333">
        <v>479</v>
      </c>
      <c r="D333" s="7" t="s">
        <v>669</v>
      </c>
    </row>
    <row r="334" spans="1:4">
      <c r="A334" t="s">
        <v>680</v>
      </c>
      <c r="B334" t="s">
        <v>681</v>
      </c>
      <c r="C334">
        <v>6</v>
      </c>
      <c r="D334" s="7" t="s">
        <v>669</v>
      </c>
    </row>
    <row r="335" spans="1:4">
      <c r="A335" t="s">
        <v>682</v>
      </c>
      <c r="B335" t="s">
        <v>683</v>
      </c>
      <c r="C335">
        <v>106</v>
      </c>
      <c r="D335" s="7" t="s">
        <v>669</v>
      </c>
    </row>
    <row r="336" spans="1:4">
      <c r="A336" t="s">
        <v>684</v>
      </c>
      <c r="B336" t="s">
        <v>685</v>
      </c>
      <c r="C336">
        <v>1146</v>
      </c>
      <c r="D336" s="7" t="s">
        <v>669</v>
      </c>
    </row>
    <row r="337" spans="1:4">
      <c r="A337" t="s">
        <v>686</v>
      </c>
      <c r="B337" t="s">
        <v>687</v>
      </c>
      <c r="C337">
        <v>77629</v>
      </c>
      <c r="D337" s="7" t="s">
        <v>669</v>
      </c>
    </row>
    <row r="338" spans="1:4">
      <c r="A338" t="s">
        <v>688</v>
      </c>
      <c r="B338" t="s">
        <v>689</v>
      </c>
      <c r="C338">
        <v>252</v>
      </c>
      <c r="D338" s="7" t="s">
        <v>669</v>
      </c>
    </row>
    <row r="339" spans="1:4">
      <c r="A339" t="s">
        <v>690</v>
      </c>
      <c r="B339" t="s">
        <v>691</v>
      </c>
      <c r="C339">
        <v>48709</v>
      </c>
      <c r="D339" s="7" t="s">
        <v>669</v>
      </c>
    </row>
    <row r="340" spans="1:4">
      <c r="A340" t="s">
        <v>692</v>
      </c>
      <c r="B340" t="s">
        <v>693</v>
      </c>
      <c r="C340">
        <v>1310</v>
      </c>
      <c r="D340" s="7" t="s">
        <v>669</v>
      </c>
    </row>
    <row r="341" spans="1:4">
      <c r="A341" t="s">
        <v>694</v>
      </c>
      <c r="B341" t="s">
        <v>695</v>
      </c>
      <c r="C341">
        <v>6528</v>
      </c>
      <c r="D341" s="7" t="s">
        <v>669</v>
      </c>
    </row>
    <row r="342" spans="1:4">
      <c r="A342" t="s">
        <v>696</v>
      </c>
      <c r="B342" t="s">
        <v>697</v>
      </c>
      <c r="C342">
        <v>9824</v>
      </c>
      <c r="D342" s="7" t="s">
        <v>669</v>
      </c>
    </row>
    <row r="343" spans="1:4">
      <c r="A343" t="s">
        <v>698</v>
      </c>
      <c r="B343" t="s">
        <v>699</v>
      </c>
      <c r="C343">
        <v>30</v>
      </c>
      <c r="D343" s="7" t="s">
        <v>669</v>
      </c>
    </row>
    <row r="344" spans="1:4">
      <c r="A344" t="s">
        <v>700</v>
      </c>
      <c r="B344" t="s">
        <v>701</v>
      </c>
      <c r="C344">
        <v>4335</v>
      </c>
      <c r="D344" s="7" t="s">
        <v>669</v>
      </c>
    </row>
    <row r="345" spans="1:4">
      <c r="A345" t="s">
        <v>702</v>
      </c>
      <c r="B345" t="s">
        <v>703</v>
      </c>
      <c r="C345">
        <v>42</v>
      </c>
      <c r="D345" s="7" t="s">
        <v>669</v>
      </c>
    </row>
    <row r="346" spans="1:4">
      <c r="A346" t="s">
        <v>704</v>
      </c>
      <c r="B346" t="s">
        <v>705</v>
      </c>
      <c r="C346">
        <v>28039</v>
      </c>
      <c r="D346" s="7" t="s">
        <v>669</v>
      </c>
    </row>
    <row r="347" spans="1:4">
      <c r="A347" t="s">
        <v>706</v>
      </c>
      <c r="B347" t="s">
        <v>707</v>
      </c>
      <c r="C347">
        <v>103</v>
      </c>
      <c r="D347" s="7" t="s">
        <v>669</v>
      </c>
    </row>
    <row r="348" spans="1:4">
      <c r="A348" t="s">
        <v>708</v>
      </c>
      <c r="B348" t="s">
        <v>709</v>
      </c>
      <c r="C348">
        <v>23629</v>
      </c>
      <c r="D348" s="7" t="s">
        <v>669</v>
      </c>
    </row>
    <row r="349" spans="1:4">
      <c r="A349" t="s">
        <v>710</v>
      </c>
      <c r="B349" t="s">
        <v>711</v>
      </c>
      <c r="C349">
        <v>1</v>
      </c>
      <c r="D349" s="7" t="s">
        <v>669</v>
      </c>
    </row>
    <row r="350" spans="1:4">
      <c r="A350" t="s">
        <v>712</v>
      </c>
      <c r="B350" t="s">
        <v>713</v>
      </c>
      <c r="C350">
        <v>4199</v>
      </c>
      <c r="D350" s="7" t="s">
        <v>669</v>
      </c>
    </row>
    <row r="351" spans="1:4">
      <c r="A351" t="s">
        <v>714</v>
      </c>
      <c r="B351" t="s">
        <v>715</v>
      </c>
      <c r="C351">
        <v>127</v>
      </c>
      <c r="D351" s="7" t="s">
        <v>669</v>
      </c>
    </row>
    <row r="352" spans="1:4">
      <c r="A352" t="s">
        <v>716</v>
      </c>
      <c r="B352" t="s">
        <v>717</v>
      </c>
      <c r="C352">
        <v>171</v>
      </c>
      <c r="D352" s="7" t="s">
        <v>669</v>
      </c>
    </row>
    <row r="353" spans="1:4">
      <c r="A353" t="s">
        <v>718</v>
      </c>
      <c r="B353" t="s">
        <v>719</v>
      </c>
      <c r="C353">
        <v>9508</v>
      </c>
      <c r="D353" s="7" t="s">
        <v>669</v>
      </c>
    </row>
    <row r="354" spans="1:4">
      <c r="A354" t="s">
        <v>720</v>
      </c>
      <c r="B354" t="s">
        <v>721</v>
      </c>
      <c r="C354">
        <v>3683</v>
      </c>
      <c r="D354" s="7" t="s">
        <v>669</v>
      </c>
    </row>
    <row r="355" spans="1:4">
      <c r="A355" t="s">
        <v>722</v>
      </c>
      <c r="B355" t="s">
        <v>723</v>
      </c>
      <c r="C355">
        <v>3</v>
      </c>
      <c r="D355" s="7" t="s">
        <v>669</v>
      </c>
    </row>
    <row r="356" spans="1:4">
      <c r="A356" t="s">
        <v>724</v>
      </c>
      <c r="B356" t="s">
        <v>725</v>
      </c>
      <c r="C356">
        <v>1149</v>
      </c>
      <c r="D356" s="7" t="s">
        <v>669</v>
      </c>
    </row>
    <row r="357" spans="1:4">
      <c r="A357" t="s">
        <v>726</v>
      </c>
      <c r="B357" t="s">
        <v>727</v>
      </c>
      <c r="C357">
        <v>40</v>
      </c>
      <c r="D357" s="7" t="s">
        <v>669</v>
      </c>
    </row>
    <row r="358" spans="1:4">
      <c r="A358" t="s">
        <v>728</v>
      </c>
      <c r="B358" t="s">
        <v>729</v>
      </c>
      <c r="C358">
        <v>16</v>
      </c>
      <c r="D358" s="7" t="s">
        <v>669</v>
      </c>
    </row>
    <row r="359" spans="1:4">
      <c r="A359" t="s">
        <v>730</v>
      </c>
      <c r="B359" t="s">
        <v>731</v>
      </c>
      <c r="C359">
        <v>14</v>
      </c>
      <c r="D359" s="7" t="s">
        <v>669</v>
      </c>
    </row>
    <row r="360" spans="1:4">
      <c r="A360" t="s">
        <v>732</v>
      </c>
      <c r="B360" t="s">
        <v>733</v>
      </c>
      <c r="C360">
        <v>325</v>
      </c>
      <c r="D360" s="7" t="s">
        <v>669</v>
      </c>
    </row>
    <row r="361" spans="1:4">
      <c r="A361" t="s">
        <v>734</v>
      </c>
      <c r="B361" t="s">
        <v>735</v>
      </c>
      <c r="C361">
        <v>17255</v>
      </c>
      <c r="D361" s="7" t="s">
        <v>669</v>
      </c>
    </row>
    <row r="362" spans="1:4">
      <c r="A362" t="s">
        <v>736</v>
      </c>
      <c r="B362" t="s">
        <v>737</v>
      </c>
      <c r="C362">
        <v>239</v>
      </c>
      <c r="D362" s="7" t="s">
        <v>669</v>
      </c>
    </row>
    <row r="363" spans="1:4">
      <c r="A363" t="s">
        <v>738</v>
      </c>
      <c r="B363" t="s">
        <v>739</v>
      </c>
      <c r="C363">
        <v>21980</v>
      </c>
      <c r="D363" s="7" t="s">
        <v>669</v>
      </c>
    </row>
    <row r="364" spans="1:4">
      <c r="A364" t="s">
        <v>740</v>
      </c>
      <c r="B364" t="s">
        <v>741</v>
      </c>
      <c r="C364">
        <v>5</v>
      </c>
      <c r="D364" s="7" t="s">
        <v>669</v>
      </c>
    </row>
    <row r="365" spans="1:4">
      <c r="A365" t="s">
        <v>742</v>
      </c>
      <c r="B365" t="s">
        <v>743</v>
      </c>
      <c r="C365">
        <v>3650</v>
      </c>
      <c r="D365" s="7" t="s">
        <v>669</v>
      </c>
    </row>
    <row r="366" spans="1:4">
      <c r="A366" t="s">
        <v>744</v>
      </c>
      <c r="B366" t="s">
        <v>745</v>
      </c>
      <c r="C366">
        <v>689</v>
      </c>
      <c r="D366" s="7" t="s">
        <v>669</v>
      </c>
    </row>
    <row r="367" spans="1:4">
      <c r="A367" t="s">
        <v>746</v>
      </c>
      <c r="B367" t="s">
        <v>747</v>
      </c>
      <c r="C367">
        <v>416</v>
      </c>
      <c r="D367" s="7" t="s">
        <v>669</v>
      </c>
    </row>
    <row r="368" spans="1:4">
      <c r="A368" t="s">
        <v>748</v>
      </c>
      <c r="B368" t="s">
        <v>749</v>
      </c>
      <c r="C368">
        <v>9543</v>
      </c>
      <c r="D368" s="7" t="s">
        <v>669</v>
      </c>
    </row>
    <row r="369" spans="1:4">
      <c r="A369" t="s">
        <v>750</v>
      </c>
      <c r="B369" t="s">
        <v>751</v>
      </c>
      <c r="C369">
        <v>2</v>
      </c>
      <c r="D369" s="7" t="s">
        <v>669</v>
      </c>
    </row>
    <row r="370" spans="1:4">
      <c r="A370" t="s">
        <v>752</v>
      </c>
      <c r="B370" t="s">
        <v>753</v>
      </c>
      <c r="C370">
        <v>1919</v>
      </c>
      <c r="D370" s="7" t="s">
        <v>669</v>
      </c>
    </row>
    <row r="371" spans="1:4">
      <c r="A371" t="s">
        <v>754</v>
      </c>
      <c r="B371" t="s">
        <v>755</v>
      </c>
      <c r="C371">
        <v>55</v>
      </c>
      <c r="D371" s="7" t="s">
        <v>669</v>
      </c>
    </row>
    <row r="372" spans="1:4">
      <c r="A372" t="s">
        <v>756</v>
      </c>
      <c r="B372" t="s">
        <v>757</v>
      </c>
      <c r="C372">
        <v>4532</v>
      </c>
      <c r="D372" s="7" t="s">
        <v>669</v>
      </c>
    </row>
    <row r="373" spans="1:4">
      <c r="A373" t="s">
        <v>758</v>
      </c>
      <c r="B373" t="s">
        <v>759</v>
      </c>
      <c r="C373">
        <v>777</v>
      </c>
      <c r="D373" s="7" t="s">
        <v>669</v>
      </c>
    </row>
    <row r="374" spans="1:4">
      <c r="A374" t="s">
        <v>760</v>
      </c>
      <c r="B374" t="s">
        <v>761</v>
      </c>
      <c r="C374">
        <v>122</v>
      </c>
      <c r="D374" s="7" t="s">
        <v>669</v>
      </c>
    </row>
    <row r="375" spans="1:4">
      <c r="A375" t="s">
        <v>762</v>
      </c>
      <c r="B375" t="s">
        <v>763</v>
      </c>
      <c r="C375">
        <v>5</v>
      </c>
      <c r="D375" s="7" t="s">
        <v>669</v>
      </c>
    </row>
    <row r="376" spans="1:4">
      <c r="A376" t="s">
        <v>764</v>
      </c>
      <c r="B376" t="s">
        <v>765</v>
      </c>
      <c r="C376">
        <v>12</v>
      </c>
      <c r="D376" s="7" t="s">
        <v>669</v>
      </c>
    </row>
    <row r="377" spans="1:4">
      <c r="A377" t="s">
        <v>766</v>
      </c>
      <c r="B377" t="s">
        <v>767</v>
      </c>
      <c r="C377">
        <v>1541</v>
      </c>
      <c r="D377" s="7" t="s">
        <v>768</v>
      </c>
    </row>
    <row r="378" spans="1:4">
      <c r="A378" t="s">
        <v>769</v>
      </c>
      <c r="B378" t="s">
        <v>770</v>
      </c>
      <c r="C378">
        <v>50</v>
      </c>
      <c r="D378" s="7" t="s">
        <v>768</v>
      </c>
    </row>
    <row r="379" spans="1:4">
      <c r="A379" t="s">
        <v>771</v>
      </c>
      <c r="B379" t="s">
        <v>772</v>
      </c>
      <c r="C379">
        <v>296</v>
      </c>
      <c r="D379" s="7" t="s">
        <v>768</v>
      </c>
    </row>
    <row r="380" spans="1:4">
      <c r="A380" t="s">
        <v>773</v>
      </c>
      <c r="B380" t="s">
        <v>774</v>
      </c>
      <c r="C380">
        <v>81</v>
      </c>
      <c r="D380" s="7" t="s">
        <v>775</v>
      </c>
    </row>
    <row r="381" spans="1:4">
      <c r="A381" t="s">
        <v>776</v>
      </c>
      <c r="B381" t="s">
        <v>777</v>
      </c>
      <c r="C381">
        <v>16</v>
      </c>
      <c r="D381" s="7" t="s">
        <v>775</v>
      </c>
    </row>
    <row r="382" spans="1:4">
      <c r="A382" t="s">
        <v>778</v>
      </c>
      <c r="B382" t="s">
        <v>779</v>
      </c>
      <c r="C382">
        <v>1</v>
      </c>
      <c r="D382" s="7" t="s">
        <v>775</v>
      </c>
    </row>
    <row r="383" spans="1:4">
      <c r="A383" t="s">
        <v>780</v>
      </c>
      <c r="B383" t="s">
        <v>781</v>
      </c>
      <c r="C383">
        <v>23</v>
      </c>
      <c r="D383" s="7" t="s">
        <v>782</v>
      </c>
    </row>
    <row r="384" spans="1:4">
      <c r="A384" t="s">
        <v>783</v>
      </c>
      <c r="B384" t="s">
        <v>784</v>
      </c>
      <c r="C384">
        <v>4</v>
      </c>
      <c r="D384" s="7" t="s">
        <v>782</v>
      </c>
    </row>
    <row r="385" spans="1:4">
      <c r="A385" t="s">
        <v>785</v>
      </c>
      <c r="B385" t="s">
        <v>786</v>
      </c>
      <c r="C385">
        <v>1</v>
      </c>
      <c r="D385" s="7" t="s">
        <v>782</v>
      </c>
    </row>
    <row r="386" spans="1:4">
      <c r="A386" t="s">
        <v>787</v>
      </c>
      <c r="B386" t="s">
        <v>788</v>
      </c>
      <c r="C386">
        <v>704</v>
      </c>
      <c r="D386" s="7" t="s">
        <v>788</v>
      </c>
    </row>
    <row r="387" spans="1:4">
      <c r="A387" t="s">
        <v>789</v>
      </c>
      <c r="B387" t="s">
        <v>790</v>
      </c>
      <c r="C387">
        <v>10</v>
      </c>
      <c r="D387" s="7" t="s">
        <v>788</v>
      </c>
    </row>
    <row r="388" spans="1:4">
      <c r="A388" t="s">
        <v>791</v>
      </c>
      <c r="B388" t="s">
        <v>792</v>
      </c>
      <c r="C388">
        <v>10</v>
      </c>
      <c r="D388" s="7" t="s">
        <v>788</v>
      </c>
    </row>
    <row r="389" spans="1:4">
      <c r="A389" t="s">
        <v>793</v>
      </c>
      <c r="B389" t="s">
        <v>794</v>
      </c>
      <c r="C389">
        <v>4253</v>
      </c>
      <c r="D389" s="7" t="s">
        <v>795</v>
      </c>
    </row>
    <row r="390" spans="1:4">
      <c r="A390" t="s">
        <v>796</v>
      </c>
      <c r="B390" t="s">
        <v>797</v>
      </c>
      <c r="C390">
        <v>56</v>
      </c>
      <c r="D390" s="7" t="s">
        <v>795</v>
      </c>
    </row>
    <row r="391" spans="1:4">
      <c r="A391" t="s">
        <v>798</v>
      </c>
      <c r="B391" t="s">
        <v>799</v>
      </c>
      <c r="C391">
        <v>2460</v>
      </c>
      <c r="D391" s="7" t="s">
        <v>795</v>
      </c>
    </row>
    <row r="392" spans="1:4">
      <c r="A392" t="s">
        <v>800</v>
      </c>
      <c r="B392" t="s">
        <v>801</v>
      </c>
      <c r="C392">
        <v>118</v>
      </c>
      <c r="D392" s="7" t="s">
        <v>795</v>
      </c>
    </row>
    <row r="393" spans="1:4">
      <c r="A393" t="s">
        <v>802</v>
      </c>
      <c r="B393" t="s">
        <v>803</v>
      </c>
      <c r="C393">
        <v>2</v>
      </c>
      <c r="D393" s="7" t="s">
        <v>795</v>
      </c>
    </row>
    <row r="394" spans="1:4">
      <c r="A394" t="s">
        <v>804</v>
      </c>
      <c r="B394" t="s">
        <v>805</v>
      </c>
      <c r="C394">
        <v>144</v>
      </c>
      <c r="D394" s="7" t="s">
        <v>795</v>
      </c>
    </row>
    <row r="395" spans="1:4">
      <c r="A395" t="s">
        <v>806</v>
      </c>
      <c r="B395" t="s">
        <v>807</v>
      </c>
      <c r="C395">
        <v>169</v>
      </c>
      <c r="D395" s="7" t="s">
        <v>795</v>
      </c>
    </row>
    <row r="396" spans="1:4">
      <c r="A396" t="s">
        <v>808</v>
      </c>
      <c r="B396" t="s">
        <v>809</v>
      </c>
      <c r="C396">
        <v>434</v>
      </c>
      <c r="D396" s="7" t="s">
        <v>795</v>
      </c>
    </row>
    <row r="397" spans="1:4">
      <c r="A397" t="s">
        <v>810</v>
      </c>
      <c r="B397" t="s">
        <v>811</v>
      </c>
      <c r="C397">
        <v>1</v>
      </c>
      <c r="D397" s="7" t="s">
        <v>795</v>
      </c>
    </row>
    <row r="398" spans="1:4">
      <c r="A398" t="s">
        <v>812</v>
      </c>
      <c r="B398" t="s">
        <v>813</v>
      </c>
      <c r="C398">
        <v>29</v>
      </c>
      <c r="D398" s="7" t="s">
        <v>795</v>
      </c>
    </row>
    <row r="399" spans="1:4">
      <c r="A399" t="s">
        <v>814</v>
      </c>
      <c r="B399" t="s">
        <v>815</v>
      </c>
      <c r="C399">
        <v>1</v>
      </c>
      <c r="D399" s="7" t="s">
        <v>795</v>
      </c>
    </row>
    <row r="400" spans="1:4">
      <c r="A400" t="s">
        <v>816</v>
      </c>
      <c r="B400" t="s">
        <v>817</v>
      </c>
      <c r="C400">
        <v>2</v>
      </c>
      <c r="D400" s="7" t="s">
        <v>795</v>
      </c>
    </row>
    <row r="401" spans="1:4">
      <c r="A401" t="s">
        <v>818</v>
      </c>
      <c r="B401" t="s">
        <v>819</v>
      </c>
      <c r="C401">
        <v>113</v>
      </c>
      <c r="D401" s="7" t="s">
        <v>820</v>
      </c>
    </row>
    <row r="402" spans="1:4">
      <c r="A402" t="s">
        <v>821</v>
      </c>
      <c r="B402" t="s">
        <v>822</v>
      </c>
      <c r="C402">
        <v>2074</v>
      </c>
      <c r="D402" s="7" t="s">
        <v>820</v>
      </c>
    </row>
    <row r="403" spans="1:4">
      <c r="A403" t="s">
        <v>823</v>
      </c>
      <c r="B403" t="s">
        <v>824</v>
      </c>
      <c r="C403">
        <v>1</v>
      </c>
      <c r="D403" s="7" t="s">
        <v>820</v>
      </c>
    </row>
    <row r="404" spans="1:4">
      <c r="A404" t="s">
        <v>825</v>
      </c>
      <c r="B404" t="s">
        <v>826</v>
      </c>
      <c r="C404">
        <v>1</v>
      </c>
      <c r="D404" s="7" t="s">
        <v>820</v>
      </c>
    </row>
    <row r="405" spans="1:4">
      <c r="A405" t="s">
        <v>827</v>
      </c>
      <c r="B405" t="s">
        <v>828</v>
      </c>
      <c r="C405">
        <v>2800</v>
      </c>
      <c r="D405" s="7" t="s">
        <v>820</v>
      </c>
    </row>
    <row r="406" spans="1:4">
      <c r="A406" t="s">
        <v>829</v>
      </c>
      <c r="B406" t="s">
        <v>830</v>
      </c>
      <c r="C406">
        <v>19</v>
      </c>
      <c r="D406" s="7" t="s">
        <v>820</v>
      </c>
    </row>
    <row r="407" spans="1:4">
      <c r="A407" t="s">
        <v>831</v>
      </c>
      <c r="B407" t="s">
        <v>832</v>
      </c>
      <c r="C407">
        <v>6334</v>
      </c>
      <c r="D407" s="7" t="s">
        <v>820</v>
      </c>
    </row>
    <row r="408" spans="1:4">
      <c r="A408" t="s">
        <v>833</v>
      </c>
      <c r="B408" t="s">
        <v>834</v>
      </c>
      <c r="C408">
        <v>25</v>
      </c>
      <c r="D408" s="7" t="s">
        <v>820</v>
      </c>
    </row>
    <row r="409" spans="1:4">
      <c r="A409" t="s">
        <v>835</v>
      </c>
      <c r="B409" t="s">
        <v>836</v>
      </c>
      <c r="C409">
        <v>537</v>
      </c>
      <c r="D409" s="7" t="s">
        <v>820</v>
      </c>
    </row>
    <row r="410" spans="1:4">
      <c r="A410" t="s">
        <v>837</v>
      </c>
      <c r="B410" t="s">
        <v>838</v>
      </c>
      <c r="C410">
        <v>609</v>
      </c>
      <c r="D410" s="7" t="s">
        <v>820</v>
      </c>
    </row>
    <row r="411" spans="1:4">
      <c r="A411" t="s">
        <v>839</v>
      </c>
      <c r="B411" t="s">
        <v>840</v>
      </c>
      <c r="C411">
        <v>16</v>
      </c>
      <c r="D411" s="7" t="s">
        <v>820</v>
      </c>
    </row>
    <row r="412" spans="1:4">
      <c r="A412" t="s">
        <v>841</v>
      </c>
      <c r="B412" t="s">
        <v>842</v>
      </c>
      <c r="C412">
        <v>494</v>
      </c>
      <c r="D412" s="7" t="s">
        <v>820</v>
      </c>
    </row>
    <row r="413" spans="1:4">
      <c r="A413" t="s">
        <v>843</v>
      </c>
      <c r="B413" t="s">
        <v>844</v>
      </c>
      <c r="C413">
        <v>3001</v>
      </c>
      <c r="D413" s="7" t="s">
        <v>820</v>
      </c>
    </row>
    <row r="414" spans="1:4">
      <c r="A414" t="s">
        <v>845</v>
      </c>
      <c r="B414" t="s">
        <v>846</v>
      </c>
      <c r="C414">
        <v>5</v>
      </c>
      <c r="D414" s="7" t="s">
        <v>820</v>
      </c>
    </row>
    <row r="415" spans="1:4">
      <c r="A415" t="s">
        <v>847</v>
      </c>
      <c r="B415" t="s">
        <v>848</v>
      </c>
      <c r="C415">
        <v>3374</v>
      </c>
      <c r="D415" s="7" t="s">
        <v>820</v>
      </c>
    </row>
    <row r="416" spans="1:4">
      <c r="A416" t="s">
        <v>849</v>
      </c>
      <c r="B416" t="s">
        <v>850</v>
      </c>
      <c r="C416">
        <v>101</v>
      </c>
      <c r="D416" s="7" t="s">
        <v>820</v>
      </c>
    </row>
    <row r="417" spans="1:4">
      <c r="A417" t="s">
        <v>851</v>
      </c>
      <c r="B417" t="s">
        <v>852</v>
      </c>
      <c r="C417">
        <v>370</v>
      </c>
      <c r="D417" s="7" t="s">
        <v>820</v>
      </c>
    </row>
    <row r="418" spans="1:4">
      <c r="A418" t="s">
        <v>853</v>
      </c>
      <c r="B418" t="s">
        <v>854</v>
      </c>
      <c r="C418">
        <v>259</v>
      </c>
      <c r="D418" s="7" t="s">
        <v>820</v>
      </c>
    </row>
    <row r="419" spans="1:4">
      <c r="A419" t="s">
        <v>855</v>
      </c>
      <c r="B419" t="s">
        <v>856</v>
      </c>
      <c r="C419">
        <v>1</v>
      </c>
      <c r="D419" s="7" t="s">
        <v>856</v>
      </c>
    </row>
    <row r="420" spans="1:4">
      <c r="A420" t="s">
        <v>857</v>
      </c>
      <c r="B420" t="s">
        <v>858</v>
      </c>
      <c r="C420">
        <v>675</v>
      </c>
      <c r="D420" s="7" t="s">
        <v>858</v>
      </c>
    </row>
    <row r="421" spans="1:4">
      <c r="A421" t="s">
        <v>859</v>
      </c>
      <c r="B421" t="s">
        <v>860</v>
      </c>
      <c r="C421">
        <v>49</v>
      </c>
      <c r="D421" s="7" t="s">
        <v>858</v>
      </c>
    </row>
    <row r="422" spans="1:4">
      <c r="A422" t="s">
        <v>861</v>
      </c>
      <c r="B422" t="s">
        <v>862</v>
      </c>
      <c r="C422">
        <v>1541</v>
      </c>
      <c r="D422" s="7" t="s">
        <v>863</v>
      </c>
    </row>
    <row r="423" spans="1:4">
      <c r="A423" t="s">
        <v>864</v>
      </c>
      <c r="B423" t="s">
        <v>865</v>
      </c>
      <c r="C423">
        <v>25</v>
      </c>
      <c r="D423" s="7" t="s">
        <v>863</v>
      </c>
    </row>
    <row r="424" spans="1:4">
      <c r="A424" t="s">
        <v>866</v>
      </c>
      <c r="B424" t="s">
        <v>867</v>
      </c>
      <c r="C424">
        <v>3456</v>
      </c>
      <c r="D424" s="7" t="s">
        <v>863</v>
      </c>
    </row>
    <row r="425" spans="1:4">
      <c r="A425" t="s">
        <v>868</v>
      </c>
      <c r="B425" t="s">
        <v>869</v>
      </c>
      <c r="C425">
        <v>117</v>
      </c>
      <c r="D425" s="7" t="s">
        <v>863</v>
      </c>
    </row>
    <row r="426" spans="1:4">
      <c r="A426" t="s">
        <v>870</v>
      </c>
      <c r="B426" t="s">
        <v>871</v>
      </c>
      <c r="C426">
        <v>415</v>
      </c>
      <c r="D426" s="7" t="s">
        <v>863</v>
      </c>
    </row>
    <row r="427" spans="1:4">
      <c r="A427" t="s">
        <v>872</v>
      </c>
      <c r="B427" t="s">
        <v>873</v>
      </c>
      <c r="C427">
        <v>704</v>
      </c>
      <c r="D427" s="7" t="s">
        <v>863</v>
      </c>
    </row>
    <row r="428" spans="1:4">
      <c r="A428" t="s">
        <v>874</v>
      </c>
      <c r="B428" t="s">
        <v>875</v>
      </c>
      <c r="C428">
        <v>391</v>
      </c>
      <c r="D428" s="7" t="s">
        <v>863</v>
      </c>
    </row>
    <row r="429" spans="1:4">
      <c r="A429" t="s">
        <v>876</v>
      </c>
      <c r="B429" t="s">
        <v>877</v>
      </c>
      <c r="C429">
        <v>7</v>
      </c>
      <c r="D429" s="7" t="s">
        <v>863</v>
      </c>
    </row>
    <row r="430" spans="1:4">
      <c r="A430" t="s">
        <v>878</v>
      </c>
      <c r="B430" t="s">
        <v>879</v>
      </c>
      <c r="C430">
        <v>244</v>
      </c>
      <c r="D430" s="7" t="s">
        <v>863</v>
      </c>
    </row>
    <row r="431" spans="1:4">
      <c r="A431" t="s">
        <v>880</v>
      </c>
      <c r="B431" t="s">
        <v>881</v>
      </c>
      <c r="C431">
        <v>47</v>
      </c>
      <c r="D431" s="7" t="s">
        <v>863</v>
      </c>
    </row>
    <row r="432" spans="1:4">
      <c r="A432" t="s">
        <v>882</v>
      </c>
      <c r="B432" t="s">
        <v>883</v>
      </c>
      <c r="C432">
        <v>2</v>
      </c>
      <c r="D432" s="7" t="s">
        <v>863</v>
      </c>
    </row>
    <row r="433" spans="1:4">
      <c r="A433" t="s">
        <v>884</v>
      </c>
      <c r="B433" t="s">
        <v>885</v>
      </c>
      <c r="C433">
        <v>553651</v>
      </c>
      <c r="D433" s="7" t="s">
        <v>863</v>
      </c>
    </row>
    <row r="434" spans="1:4">
      <c r="A434" t="s">
        <v>886</v>
      </c>
      <c r="B434" t="s">
        <v>887</v>
      </c>
      <c r="C434">
        <v>319</v>
      </c>
      <c r="D434" s="7" t="s">
        <v>863</v>
      </c>
    </row>
    <row r="435" spans="1:4">
      <c r="A435" t="s">
        <v>888</v>
      </c>
      <c r="B435" t="s">
        <v>889</v>
      </c>
      <c r="C435">
        <v>51352</v>
      </c>
      <c r="D435" s="7" t="s">
        <v>863</v>
      </c>
    </row>
    <row r="436" spans="1:4">
      <c r="A436" t="s">
        <v>890</v>
      </c>
      <c r="B436" t="s">
        <v>891</v>
      </c>
      <c r="C436">
        <v>2148</v>
      </c>
      <c r="D436" s="7" t="s">
        <v>863</v>
      </c>
    </row>
    <row r="437" spans="1:4">
      <c r="A437" t="s">
        <v>892</v>
      </c>
      <c r="B437" t="s">
        <v>893</v>
      </c>
      <c r="C437">
        <v>17684</v>
      </c>
      <c r="D437" s="7" t="s">
        <v>863</v>
      </c>
    </row>
    <row r="438" spans="1:4">
      <c r="A438" t="s">
        <v>894</v>
      </c>
      <c r="B438" t="s">
        <v>895</v>
      </c>
      <c r="C438">
        <v>1</v>
      </c>
      <c r="D438" s="7" t="s">
        <v>863</v>
      </c>
    </row>
    <row r="439" spans="1:4">
      <c r="A439" t="s">
        <v>896</v>
      </c>
      <c r="B439" t="s">
        <v>897</v>
      </c>
      <c r="C439">
        <v>4</v>
      </c>
      <c r="D439" s="7" t="s">
        <v>897</v>
      </c>
    </row>
    <row r="440" spans="1:4">
      <c r="A440" t="s">
        <v>898</v>
      </c>
      <c r="B440" t="s">
        <v>899</v>
      </c>
      <c r="C440">
        <v>7134</v>
      </c>
      <c r="D440" s="7" t="s">
        <v>899</v>
      </c>
    </row>
    <row r="441" spans="1:4">
      <c r="A441" t="s">
        <v>900</v>
      </c>
      <c r="B441" t="s">
        <v>901</v>
      </c>
      <c r="C441">
        <v>1</v>
      </c>
      <c r="D441" s="7" t="s">
        <v>901</v>
      </c>
    </row>
    <row r="442" spans="1:4">
      <c r="A442" t="s">
        <v>902</v>
      </c>
      <c r="B442" t="s">
        <v>903</v>
      </c>
      <c r="C442">
        <v>679274</v>
      </c>
      <c r="D442" s="7" t="s">
        <v>903</v>
      </c>
    </row>
    <row r="443" spans="1:4">
      <c r="A443" t="s">
        <v>904</v>
      </c>
      <c r="B443" t="s">
        <v>905</v>
      </c>
      <c r="C443">
        <v>33</v>
      </c>
      <c r="D443" s="7" t="s">
        <v>906</v>
      </c>
    </row>
    <row r="444" spans="1:4">
      <c r="A444" t="s">
        <v>907</v>
      </c>
      <c r="B444" t="s">
        <v>908</v>
      </c>
      <c r="C444">
        <v>3</v>
      </c>
      <c r="D444" s="7" t="s">
        <v>906</v>
      </c>
    </row>
    <row r="445" spans="1:4">
      <c r="A445" t="s">
        <v>909</v>
      </c>
      <c r="B445" t="s">
        <v>910</v>
      </c>
      <c r="C445">
        <v>3</v>
      </c>
      <c r="D445" s="7" t="s">
        <v>906</v>
      </c>
    </row>
    <row r="446" spans="1:4">
      <c r="A446" t="s">
        <v>911</v>
      </c>
      <c r="B446" t="s">
        <v>912</v>
      </c>
      <c r="C446">
        <v>315</v>
      </c>
      <c r="D446" s="7" t="s">
        <v>913</v>
      </c>
    </row>
    <row r="447" spans="1:4">
      <c r="A447" t="s">
        <v>914</v>
      </c>
      <c r="B447" t="s">
        <v>915</v>
      </c>
      <c r="C447">
        <v>16</v>
      </c>
      <c r="D447" s="7" t="s">
        <v>913</v>
      </c>
    </row>
    <row r="448" spans="1:4">
      <c r="A448" t="s">
        <v>916</v>
      </c>
      <c r="B448" t="s">
        <v>917</v>
      </c>
      <c r="C448">
        <v>1352</v>
      </c>
      <c r="D448" s="7" t="s">
        <v>913</v>
      </c>
    </row>
    <row r="449" spans="1:4">
      <c r="A449" t="s">
        <v>918</v>
      </c>
      <c r="B449" t="s">
        <v>919</v>
      </c>
      <c r="C449">
        <v>31</v>
      </c>
      <c r="D449" s="7" t="s">
        <v>913</v>
      </c>
    </row>
    <row r="450" spans="1:4">
      <c r="A450" t="s">
        <v>920</v>
      </c>
      <c r="B450" t="s">
        <v>921</v>
      </c>
      <c r="C450">
        <v>1217</v>
      </c>
      <c r="D450" s="7" t="s">
        <v>913</v>
      </c>
    </row>
    <row r="451" spans="1:4">
      <c r="A451" t="s">
        <v>922</v>
      </c>
      <c r="B451" t="s">
        <v>923</v>
      </c>
      <c r="C451">
        <v>157</v>
      </c>
      <c r="D451" s="7" t="s">
        <v>924</v>
      </c>
    </row>
    <row r="452" spans="1:4">
      <c r="A452" t="s">
        <v>925</v>
      </c>
      <c r="B452" t="s">
        <v>926</v>
      </c>
      <c r="C452">
        <v>71</v>
      </c>
      <c r="D452" s="7" t="s">
        <v>924</v>
      </c>
    </row>
    <row r="453" spans="1:4">
      <c r="A453" t="s">
        <v>927</v>
      </c>
      <c r="B453" t="s">
        <v>928</v>
      </c>
      <c r="C453">
        <v>7</v>
      </c>
      <c r="D453" s="7" t="s">
        <v>924</v>
      </c>
    </row>
    <row r="454" spans="1:4">
      <c r="A454" t="s">
        <v>929</v>
      </c>
      <c r="B454" t="s">
        <v>930</v>
      </c>
      <c r="C454">
        <v>1</v>
      </c>
      <c r="D454" s="7" t="s">
        <v>930</v>
      </c>
    </row>
    <row r="455" spans="1:4">
      <c r="A455" t="s">
        <v>931</v>
      </c>
      <c r="B455" t="s">
        <v>932</v>
      </c>
      <c r="C455">
        <v>64885</v>
      </c>
      <c r="D455" s="7" t="s">
        <v>932</v>
      </c>
    </row>
    <row r="456" spans="1:4">
      <c r="A456" t="s">
        <v>933</v>
      </c>
      <c r="B456" t="s">
        <v>934</v>
      </c>
      <c r="C456">
        <v>2088</v>
      </c>
      <c r="D456" s="7" t="s">
        <v>934</v>
      </c>
    </row>
    <row r="457" spans="1:4">
      <c r="A457" t="s">
        <v>935</v>
      </c>
      <c r="B457" t="s">
        <v>936</v>
      </c>
      <c r="C457">
        <v>9037</v>
      </c>
      <c r="D457" s="7" t="s">
        <v>934</v>
      </c>
    </row>
    <row r="458" spans="1:4">
      <c r="A458" t="s">
        <v>937</v>
      </c>
      <c r="B458" t="s">
        <v>938</v>
      </c>
      <c r="C458">
        <v>115068</v>
      </c>
      <c r="D458" s="7" t="s">
        <v>939</v>
      </c>
    </row>
    <row r="459" spans="1:4">
      <c r="A459" t="s">
        <v>940</v>
      </c>
      <c r="B459" t="s">
        <v>941</v>
      </c>
      <c r="C459">
        <v>299994</v>
      </c>
      <c r="D459" s="7" t="s">
        <v>941</v>
      </c>
    </row>
    <row r="460" spans="1:4">
      <c r="A460" t="s">
        <v>942</v>
      </c>
      <c r="B460" t="s">
        <v>943</v>
      </c>
      <c r="C460">
        <v>246288</v>
      </c>
      <c r="D460" s="7" t="s">
        <v>943</v>
      </c>
    </row>
    <row r="461" spans="1:4">
      <c r="A461" t="s">
        <v>944</v>
      </c>
      <c r="B461" t="s">
        <v>945</v>
      </c>
      <c r="C461">
        <v>43</v>
      </c>
      <c r="D461" s="7" t="s">
        <v>945</v>
      </c>
    </row>
    <row r="462" spans="1:4">
      <c r="A462" t="s">
        <v>946</v>
      </c>
      <c r="B462" t="s">
        <v>947</v>
      </c>
      <c r="C462">
        <v>7</v>
      </c>
      <c r="D462" s="7" t="s">
        <v>945</v>
      </c>
    </row>
    <row r="463" spans="1:4">
      <c r="A463" t="s">
        <v>948</v>
      </c>
      <c r="B463" t="s">
        <v>949</v>
      </c>
      <c r="C463">
        <v>1</v>
      </c>
      <c r="D463" s="7" t="s">
        <v>949</v>
      </c>
    </row>
    <row r="464" spans="1:4">
      <c r="A464" t="s">
        <v>950</v>
      </c>
      <c r="B464" t="s">
        <v>951</v>
      </c>
      <c r="C464">
        <v>586</v>
      </c>
      <c r="D464" s="7" t="s">
        <v>952</v>
      </c>
    </row>
    <row r="465" spans="1:4">
      <c r="A465" t="s">
        <v>953</v>
      </c>
      <c r="B465" t="s">
        <v>954</v>
      </c>
      <c r="C465">
        <v>7</v>
      </c>
      <c r="D465" s="7" t="s">
        <v>952</v>
      </c>
    </row>
    <row r="466" spans="1:4">
      <c r="A466" t="s">
        <v>955</v>
      </c>
      <c r="B466" t="s">
        <v>956</v>
      </c>
      <c r="C466">
        <v>8</v>
      </c>
      <c r="D466" s="7" t="s">
        <v>952</v>
      </c>
    </row>
    <row r="467" spans="1:4">
      <c r="A467" t="s">
        <v>957</v>
      </c>
      <c r="B467" t="s">
        <v>958</v>
      </c>
      <c r="C467">
        <v>35</v>
      </c>
      <c r="D467" s="7" t="s">
        <v>952</v>
      </c>
    </row>
    <row r="468" spans="1:4">
      <c r="A468" t="s">
        <v>959</v>
      </c>
      <c r="B468" t="s">
        <v>960</v>
      </c>
      <c r="C468">
        <v>14377</v>
      </c>
      <c r="D468" s="7" t="s">
        <v>961</v>
      </c>
    </row>
    <row r="469" spans="1:4">
      <c r="A469" t="s">
        <v>962</v>
      </c>
      <c r="B469" t="s">
        <v>963</v>
      </c>
      <c r="C469">
        <v>1004</v>
      </c>
      <c r="D469" s="7" t="s">
        <v>961</v>
      </c>
    </row>
    <row r="470" spans="1:4">
      <c r="A470" t="s">
        <v>964</v>
      </c>
      <c r="B470" t="s">
        <v>965</v>
      </c>
      <c r="C470">
        <v>19755</v>
      </c>
      <c r="D470" s="7" t="s">
        <v>961</v>
      </c>
    </row>
    <row r="471" spans="1:4">
      <c r="A471" t="s">
        <v>966</v>
      </c>
      <c r="B471" t="s">
        <v>967</v>
      </c>
      <c r="C471">
        <v>141</v>
      </c>
      <c r="D471" s="7" t="s">
        <v>961</v>
      </c>
    </row>
    <row r="472" spans="1:4">
      <c r="A472" t="s">
        <v>968</v>
      </c>
      <c r="B472" t="s">
        <v>969</v>
      </c>
      <c r="C472">
        <v>21555</v>
      </c>
      <c r="D472" s="7" t="s">
        <v>961</v>
      </c>
    </row>
    <row r="473" spans="1:4">
      <c r="A473" t="s">
        <v>970</v>
      </c>
      <c r="B473" t="s">
        <v>971</v>
      </c>
      <c r="C473">
        <v>4584</v>
      </c>
      <c r="D473" s="7" t="s">
        <v>961</v>
      </c>
    </row>
    <row r="474" spans="1:4">
      <c r="A474" t="s">
        <v>972</v>
      </c>
      <c r="B474" t="s">
        <v>973</v>
      </c>
      <c r="C474">
        <v>4503</v>
      </c>
      <c r="D474" s="7" t="s">
        <v>961</v>
      </c>
    </row>
    <row r="475" spans="1:4">
      <c r="A475" t="s">
        <v>974</v>
      </c>
      <c r="B475" t="s">
        <v>975</v>
      </c>
      <c r="C475">
        <v>1261</v>
      </c>
      <c r="D475" s="7" t="s">
        <v>961</v>
      </c>
    </row>
    <row r="476" spans="1:4">
      <c r="A476" t="s">
        <v>976</v>
      </c>
      <c r="B476" t="s">
        <v>977</v>
      </c>
      <c r="C476">
        <v>80878</v>
      </c>
      <c r="D476" s="7" t="s">
        <v>961</v>
      </c>
    </row>
    <row r="477" spans="1:4">
      <c r="A477" t="s">
        <v>978</v>
      </c>
      <c r="B477" t="s">
        <v>979</v>
      </c>
      <c r="C477">
        <v>10752</v>
      </c>
      <c r="D477" s="7" t="s">
        <v>961</v>
      </c>
    </row>
    <row r="478" spans="1:4">
      <c r="A478" t="s">
        <v>980</v>
      </c>
      <c r="B478" t="s">
        <v>981</v>
      </c>
      <c r="C478">
        <v>26377</v>
      </c>
      <c r="D478" s="7" t="s">
        <v>981</v>
      </c>
    </row>
    <row r="479" spans="1:4">
      <c r="A479" t="s">
        <v>982</v>
      </c>
      <c r="B479" t="s">
        <v>983</v>
      </c>
      <c r="C479">
        <v>155</v>
      </c>
      <c r="D479" s="7" t="s">
        <v>981</v>
      </c>
    </row>
    <row r="480" spans="1:4">
      <c r="A480" t="s">
        <v>984</v>
      </c>
      <c r="B480" t="s">
        <v>985</v>
      </c>
      <c r="C480">
        <v>23485</v>
      </c>
      <c r="D480" s="7" t="s">
        <v>981</v>
      </c>
    </row>
    <row r="481" spans="1:4">
      <c r="A481" t="s">
        <v>986</v>
      </c>
      <c r="B481" t="s">
        <v>987</v>
      </c>
      <c r="C481">
        <v>709293</v>
      </c>
      <c r="D481" s="7" t="s">
        <v>988</v>
      </c>
    </row>
    <row r="482" spans="1:4">
      <c r="A482" t="s">
        <v>989</v>
      </c>
      <c r="B482" t="s">
        <v>990</v>
      </c>
      <c r="C482">
        <v>194837</v>
      </c>
      <c r="D482" s="7" t="s">
        <v>988</v>
      </c>
    </row>
    <row r="483" spans="1:4">
      <c r="A483" t="s">
        <v>991</v>
      </c>
      <c r="B483" t="s">
        <v>992</v>
      </c>
      <c r="C483">
        <v>99014</v>
      </c>
      <c r="D483" s="7" t="s">
        <v>988</v>
      </c>
    </row>
    <row r="484" spans="1:4">
      <c r="A484" t="s">
        <v>993</v>
      </c>
      <c r="B484" t="s">
        <v>994</v>
      </c>
      <c r="C484">
        <v>794</v>
      </c>
      <c r="D484" s="7" t="s">
        <v>988</v>
      </c>
    </row>
    <row r="485" spans="1:4">
      <c r="A485" t="s">
        <v>995</v>
      </c>
      <c r="B485" t="s">
        <v>996</v>
      </c>
      <c r="C485">
        <v>32</v>
      </c>
      <c r="D485" s="7" t="s">
        <v>988</v>
      </c>
    </row>
    <row r="486" spans="1:4">
      <c r="A486" t="s">
        <v>997</v>
      </c>
      <c r="B486" t="s">
        <v>996</v>
      </c>
      <c r="C486">
        <v>32</v>
      </c>
      <c r="D486" s="7" t="s">
        <v>988</v>
      </c>
    </row>
    <row r="487" spans="1:4">
      <c r="A487" t="s">
        <v>998</v>
      </c>
      <c r="B487" t="s">
        <v>999</v>
      </c>
      <c r="C487">
        <v>46543</v>
      </c>
      <c r="D487" s="7" t="s">
        <v>988</v>
      </c>
    </row>
    <row r="488" spans="1:4">
      <c r="A488" t="s">
        <v>1000</v>
      </c>
      <c r="B488" t="s">
        <v>1001</v>
      </c>
      <c r="C488">
        <v>1</v>
      </c>
      <c r="D488" s="7" t="s">
        <v>1001</v>
      </c>
    </row>
    <row r="489" spans="1:4">
      <c r="A489" t="s">
        <v>1002</v>
      </c>
      <c r="B489" t="s">
        <v>1003</v>
      </c>
      <c r="C489">
        <v>6559</v>
      </c>
      <c r="D489" s="7" t="s">
        <v>1003</v>
      </c>
    </row>
  </sheetData>
  <autoFilter ref="A1:D48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EED8-2504-449A-B1A9-F95ACE8360FF}">
  <dimension ref="A2:D79"/>
  <sheetViews>
    <sheetView workbookViewId="0">
      <selection activeCell="A65" sqref="A3:A65"/>
    </sheetView>
  </sheetViews>
  <sheetFormatPr defaultRowHeight="14.45"/>
  <cols>
    <col min="1" max="1" width="58.7109375" bestFit="1" customWidth="1"/>
    <col min="2" max="2" width="12.5703125" customWidth="1"/>
    <col min="3" max="3" width="20.85546875" customWidth="1"/>
  </cols>
  <sheetData>
    <row r="2" spans="1:3">
      <c r="A2" s="2" t="s">
        <v>1004</v>
      </c>
      <c r="B2" t="s">
        <v>1005</v>
      </c>
      <c r="C2" t="s">
        <v>1006</v>
      </c>
    </row>
    <row r="3" spans="1:3">
      <c r="A3" s="6" t="s">
        <v>988</v>
      </c>
      <c r="B3">
        <v>1050545</v>
      </c>
      <c r="C3" t="s">
        <v>1007</v>
      </c>
    </row>
    <row r="4" spans="1:3">
      <c r="A4" s="6" t="s">
        <v>903</v>
      </c>
      <c r="B4">
        <v>679274</v>
      </c>
      <c r="C4" t="s">
        <v>1007</v>
      </c>
    </row>
    <row r="5" spans="1:3">
      <c r="A5" s="5" t="s">
        <v>512</v>
      </c>
      <c r="B5">
        <v>676790</v>
      </c>
      <c r="C5" t="s">
        <v>1008</v>
      </c>
    </row>
    <row r="6" spans="1:3">
      <c r="A6" s="6" t="s">
        <v>863</v>
      </c>
      <c r="B6">
        <v>632104</v>
      </c>
      <c r="C6" t="s">
        <v>1007</v>
      </c>
    </row>
    <row r="7" spans="1:3">
      <c r="A7" s="6" t="s">
        <v>941</v>
      </c>
      <c r="B7">
        <v>299994</v>
      </c>
      <c r="C7" t="s">
        <v>1007</v>
      </c>
    </row>
    <row r="8" spans="1:3">
      <c r="A8" s="4" t="s">
        <v>669</v>
      </c>
      <c r="B8">
        <v>297111</v>
      </c>
      <c r="C8" t="s">
        <v>1009</v>
      </c>
    </row>
    <row r="9" spans="1:3">
      <c r="A9" s="5" t="s">
        <v>371</v>
      </c>
      <c r="B9">
        <v>285949</v>
      </c>
      <c r="C9" t="s">
        <v>1008</v>
      </c>
    </row>
    <row r="10" spans="1:3">
      <c r="A10" s="6" t="s">
        <v>43</v>
      </c>
      <c r="B10">
        <v>284529</v>
      </c>
      <c r="C10" t="s">
        <v>1007</v>
      </c>
    </row>
    <row r="11" spans="1:3">
      <c r="A11" s="6" t="s">
        <v>943</v>
      </c>
      <c r="B11">
        <v>246288</v>
      </c>
      <c r="C11" t="s">
        <v>1007</v>
      </c>
    </row>
    <row r="12" spans="1:3">
      <c r="A12" s="4" t="s">
        <v>608</v>
      </c>
      <c r="B12">
        <v>204960</v>
      </c>
      <c r="C12" t="s">
        <v>1009</v>
      </c>
    </row>
    <row r="13" spans="1:3">
      <c r="A13" s="6" t="s">
        <v>961</v>
      </c>
      <c r="B13">
        <v>158810</v>
      </c>
      <c r="C13" t="s">
        <v>1007</v>
      </c>
    </row>
    <row r="14" spans="1:3">
      <c r="A14" s="5" t="s">
        <v>10</v>
      </c>
      <c r="B14">
        <v>136197</v>
      </c>
      <c r="C14" t="s">
        <v>1008</v>
      </c>
    </row>
    <row r="15" spans="1:3">
      <c r="A15" s="4" t="s">
        <v>342</v>
      </c>
      <c r="B15">
        <v>136029</v>
      </c>
      <c r="C15" t="s">
        <v>1009</v>
      </c>
    </row>
    <row r="16" spans="1:3">
      <c r="A16" s="4" t="s">
        <v>144</v>
      </c>
      <c r="B16">
        <v>122568</v>
      </c>
      <c r="C16" t="s">
        <v>1009</v>
      </c>
    </row>
    <row r="17" spans="1:3">
      <c r="A17" s="3" t="s">
        <v>939</v>
      </c>
      <c r="B17">
        <v>115068</v>
      </c>
    </row>
    <row r="18" spans="1:3">
      <c r="A18" s="3" t="s">
        <v>507</v>
      </c>
      <c r="B18">
        <v>65443</v>
      </c>
    </row>
    <row r="19" spans="1:3">
      <c r="A19" s="6" t="s">
        <v>932</v>
      </c>
      <c r="B19">
        <v>64885</v>
      </c>
      <c r="C19" t="s">
        <v>1007</v>
      </c>
    </row>
    <row r="20" spans="1:3">
      <c r="A20" s="3" t="s">
        <v>981</v>
      </c>
      <c r="B20">
        <v>50017</v>
      </c>
    </row>
    <row r="21" spans="1:3">
      <c r="A21" s="3" t="s">
        <v>333</v>
      </c>
      <c r="B21">
        <v>40263</v>
      </c>
    </row>
    <row r="22" spans="1:3">
      <c r="A22" s="4" t="s">
        <v>298</v>
      </c>
      <c r="B22">
        <v>35039</v>
      </c>
      <c r="C22" t="s">
        <v>1009</v>
      </c>
    </row>
    <row r="23" spans="1:3">
      <c r="A23" s="4" t="s">
        <v>820</v>
      </c>
      <c r="B23">
        <v>20133</v>
      </c>
      <c r="C23" t="s">
        <v>1009</v>
      </c>
    </row>
    <row r="24" spans="1:3">
      <c r="A24" s="6" t="s">
        <v>433</v>
      </c>
      <c r="B24">
        <v>17175</v>
      </c>
      <c r="C24" t="s">
        <v>1007</v>
      </c>
    </row>
    <row r="25" spans="1:3">
      <c r="A25" s="6" t="s">
        <v>934</v>
      </c>
      <c r="B25">
        <v>11125</v>
      </c>
      <c r="C25" t="s">
        <v>1007</v>
      </c>
    </row>
    <row r="26" spans="1:3">
      <c r="A26" s="5" t="s">
        <v>795</v>
      </c>
      <c r="B26">
        <v>7669</v>
      </c>
      <c r="C26" t="s">
        <v>1008</v>
      </c>
    </row>
    <row r="27" spans="1:3">
      <c r="A27" s="5" t="s">
        <v>899</v>
      </c>
      <c r="B27">
        <v>7134</v>
      </c>
      <c r="C27" t="s">
        <v>1008</v>
      </c>
    </row>
    <row r="28" spans="1:3">
      <c r="A28" s="3" t="s">
        <v>1003</v>
      </c>
      <c r="B28">
        <v>6559</v>
      </c>
    </row>
    <row r="29" spans="1:3">
      <c r="A29" s="3" t="s">
        <v>262</v>
      </c>
      <c r="B29">
        <v>6436</v>
      </c>
    </row>
    <row r="30" spans="1:3">
      <c r="A30" s="3" t="s">
        <v>497</v>
      </c>
      <c r="B30">
        <v>4780</v>
      </c>
    </row>
    <row r="31" spans="1:3">
      <c r="A31" s="5" t="s">
        <v>913</v>
      </c>
      <c r="B31">
        <v>2931</v>
      </c>
      <c r="C31" t="s">
        <v>1008</v>
      </c>
    </row>
    <row r="32" spans="1:3">
      <c r="A32" s="6" t="s">
        <v>325</v>
      </c>
      <c r="B32">
        <v>2545</v>
      </c>
      <c r="C32" t="s">
        <v>1007</v>
      </c>
    </row>
    <row r="33" spans="1:4">
      <c r="A33" s="3" t="s">
        <v>768</v>
      </c>
      <c r="B33">
        <v>1887</v>
      </c>
    </row>
    <row r="34" spans="1:4">
      <c r="A34" s="3" t="s">
        <v>293</v>
      </c>
      <c r="B34">
        <v>1805</v>
      </c>
    </row>
    <row r="35" spans="1:4">
      <c r="A35" s="5" t="s">
        <v>426</v>
      </c>
      <c r="B35">
        <v>1111</v>
      </c>
      <c r="C35" t="s">
        <v>1008</v>
      </c>
    </row>
    <row r="36" spans="1:4">
      <c r="A36" s="3" t="s">
        <v>858</v>
      </c>
      <c r="B36">
        <v>724</v>
      </c>
    </row>
    <row r="37" spans="1:4">
      <c r="A37" s="5" t="s">
        <v>788</v>
      </c>
      <c r="B37">
        <v>724</v>
      </c>
      <c r="C37" t="s">
        <v>1008</v>
      </c>
    </row>
    <row r="38" spans="1:4">
      <c r="A38" s="6" t="s">
        <v>952</v>
      </c>
      <c r="B38">
        <v>636</v>
      </c>
      <c r="C38" t="s">
        <v>1007</v>
      </c>
    </row>
    <row r="39" spans="1:4">
      <c r="A39" s="3" t="s">
        <v>40</v>
      </c>
      <c r="B39">
        <v>302</v>
      </c>
    </row>
    <row r="40" spans="1:4">
      <c r="A40" s="5" t="s">
        <v>924</v>
      </c>
      <c r="B40">
        <v>235</v>
      </c>
      <c r="C40" t="s">
        <v>1008</v>
      </c>
    </row>
    <row r="41" spans="1:4">
      <c r="A41" s="3" t="s">
        <v>5</v>
      </c>
      <c r="B41">
        <v>122</v>
      </c>
    </row>
    <row r="42" spans="1:4">
      <c r="A42" s="6" t="s">
        <v>255</v>
      </c>
      <c r="B42">
        <v>102</v>
      </c>
      <c r="C42" t="s">
        <v>1007</v>
      </c>
    </row>
    <row r="43" spans="1:4">
      <c r="A43" s="3" t="s">
        <v>775</v>
      </c>
      <c r="B43">
        <v>98</v>
      </c>
    </row>
    <row r="44" spans="1:4">
      <c r="A44" s="3" t="s">
        <v>331</v>
      </c>
      <c r="B44">
        <v>80</v>
      </c>
    </row>
    <row r="45" spans="1:4">
      <c r="A45" s="3" t="s">
        <v>419</v>
      </c>
      <c r="B45">
        <v>77</v>
      </c>
      <c r="D45" t="s">
        <v>1007</v>
      </c>
    </row>
    <row r="46" spans="1:4">
      <c r="A46" s="3" t="s">
        <v>945</v>
      </c>
      <c r="B46">
        <v>50</v>
      </c>
    </row>
    <row r="47" spans="1:4">
      <c r="A47" s="3" t="s">
        <v>423</v>
      </c>
      <c r="B47">
        <v>49</v>
      </c>
      <c r="D47" t="s">
        <v>1007</v>
      </c>
    </row>
    <row r="48" spans="1:4">
      <c r="A48" s="3" t="s">
        <v>666</v>
      </c>
      <c r="B48">
        <v>49</v>
      </c>
    </row>
    <row r="49" spans="1:3">
      <c r="A49" s="3" t="s">
        <v>337</v>
      </c>
      <c r="B49">
        <v>39</v>
      </c>
    </row>
    <row r="50" spans="1:3">
      <c r="A50" s="5" t="s">
        <v>906</v>
      </c>
      <c r="B50">
        <v>39</v>
      </c>
      <c r="C50" t="s">
        <v>1008</v>
      </c>
    </row>
    <row r="51" spans="1:3">
      <c r="A51" s="4" t="s">
        <v>782</v>
      </c>
      <c r="B51">
        <v>28</v>
      </c>
      <c r="C51" t="s">
        <v>1009</v>
      </c>
    </row>
    <row r="52" spans="1:3">
      <c r="A52" s="3" t="s">
        <v>509</v>
      </c>
      <c r="B52">
        <v>28</v>
      </c>
    </row>
    <row r="53" spans="1:3">
      <c r="A53" s="3" t="s">
        <v>7</v>
      </c>
      <c r="B53">
        <v>17</v>
      </c>
    </row>
    <row r="54" spans="1:3">
      <c r="A54" s="3" t="s">
        <v>335</v>
      </c>
      <c r="B54">
        <v>10</v>
      </c>
    </row>
    <row r="55" spans="1:3">
      <c r="A55" s="5" t="s">
        <v>897</v>
      </c>
      <c r="B55">
        <v>4</v>
      </c>
      <c r="C55" t="s">
        <v>1008</v>
      </c>
    </row>
    <row r="56" spans="1:3">
      <c r="A56" s="3" t="s">
        <v>494</v>
      </c>
      <c r="B56">
        <v>3</v>
      </c>
    </row>
    <row r="57" spans="1:3">
      <c r="A57" s="3" t="s">
        <v>421</v>
      </c>
      <c r="B57">
        <v>2</v>
      </c>
    </row>
    <row r="58" spans="1:3">
      <c r="A58" s="3" t="s">
        <v>901</v>
      </c>
      <c r="B58">
        <v>1</v>
      </c>
    </row>
    <row r="59" spans="1:3">
      <c r="A59" s="3" t="s">
        <v>949</v>
      </c>
      <c r="B59">
        <v>1</v>
      </c>
    </row>
    <row r="60" spans="1:3">
      <c r="A60" s="3" t="s">
        <v>930</v>
      </c>
      <c r="B60">
        <v>1</v>
      </c>
    </row>
    <row r="61" spans="1:3">
      <c r="A61" s="3" t="s">
        <v>1001</v>
      </c>
      <c r="B61">
        <v>1</v>
      </c>
    </row>
    <row r="62" spans="1:3">
      <c r="A62" s="3" t="s">
        <v>327</v>
      </c>
      <c r="B62">
        <v>1</v>
      </c>
    </row>
    <row r="63" spans="1:3">
      <c r="A63" s="3" t="s">
        <v>856</v>
      </c>
      <c r="B63">
        <v>1</v>
      </c>
    </row>
    <row r="64" spans="1:3">
      <c r="A64" s="3" t="s">
        <v>329</v>
      </c>
      <c r="B64">
        <v>1</v>
      </c>
    </row>
    <row r="65" spans="1:3">
      <c r="A65" s="3" t="s">
        <v>1010</v>
      </c>
      <c r="B65">
        <v>5676578</v>
      </c>
    </row>
    <row r="69" spans="1:3">
      <c r="A69" s="7" t="s">
        <v>144</v>
      </c>
      <c r="C69" s="7" t="s">
        <v>10</v>
      </c>
    </row>
    <row r="70" spans="1:3">
      <c r="A70" s="7" t="s">
        <v>298</v>
      </c>
      <c r="C70" s="7" t="s">
        <v>371</v>
      </c>
    </row>
    <row r="71" spans="1:3">
      <c r="A71" s="7" t="s">
        <v>342</v>
      </c>
      <c r="C71" s="7" t="s">
        <v>426</v>
      </c>
    </row>
    <row r="72" spans="1:3">
      <c r="A72" s="7" t="s">
        <v>608</v>
      </c>
      <c r="C72" s="7" t="s">
        <v>512</v>
      </c>
    </row>
    <row r="73" spans="1:3">
      <c r="A73" s="7" t="s">
        <v>669</v>
      </c>
      <c r="C73" s="7" t="s">
        <v>788</v>
      </c>
    </row>
    <row r="74" spans="1:3">
      <c r="A74" s="7" t="s">
        <v>782</v>
      </c>
      <c r="C74" s="7" t="s">
        <v>795</v>
      </c>
    </row>
    <row r="75" spans="1:3">
      <c r="A75" s="7" t="s">
        <v>820</v>
      </c>
      <c r="C75" s="7" t="s">
        <v>897</v>
      </c>
    </row>
    <row r="76" spans="1:3">
      <c r="A76" s="7" t="s">
        <v>897</v>
      </c>
      <c r="C76" s="7" t="s">
        <v>899</v>
      </c>
    </row>
    <row r="77" spans="1:3">
      <c r="C77" s="7" t="s">
        <v>906</v>
      </c>
    </row>
    <row r="78" spans="1:3">
      <c r="C78" s="7" t="s">
        <v>913</v>
      </c>
    </row>
    <row r="79" spans="1:3">
      <c r="C79" s="7" t="s">
        <v>924</v>
      </c>
    </row>
  </sheetData>
  <autoFilter ref="A2:D65" xr:uid="{5BCAEED8-2504-449A-B1A9-F95ACE8360FF}"/>
  <conditionalFormatting pivot="1" sqref="B3:B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0F60-8F4A-4F83-B30C-73622FACC448}">
  <dimension ref="A1:G184"/>
  <sheetViews>
    <sheetView tabSelected="1" workbookViewId="0">
      <selection activeCell="F1" sqref="F1"/>
    </sheetView>
  </sheetViews>
  <sheetFormatPr defaultRowHeight="14.45"/>
  <cols>
    <col min="1" max="1" width="6.28515625" bestFit="1" customWidth="1"/>
  </cols>
  <sheetData>
    <row r="1" spans="1:7">
      <c r="B1" t="s">
        <v>1011</v>
      </c>
      <c r="F1" t="s">
        <v>1011</v>
      </c>
    </row>
    <row r="2" spans="1:7">
      <c r="A2" t="s">
        <v>1009</v>
      </c>
      <c r="B2" t="s">
        <v>1012</v>
      </c>
      <c r="C2" t="s">
        <v>1013</v>
      </c>
      <c r="E2" t="s">
        <v>1008</v>
      </c>
      <c r="F2" t="s">
        <v>1014</v>
      </c>
      <c r="G2" t="s">
        <v>1013</v>
      </c>
    </row>
    <row r="3" spans="1:7">
      <c r="A3" t="s">
        <v>142</v>
      </c>
      <c r="B3" t="str">
        <f xml:space="preserve"> "'" &amp; A3 &amp; "',"</f>
        <v>'34K7',</v>
      </c>
      <c r="C3">
        <f>SEARCH(A3,$B$2)</f>
        <v>1</v>
      </c>
      <c r="E3" t="s">
        <v>8</v>
      </c>
      <c r="F3" t="str">
        <f>"'" &amp;E3 &amp; "',"</f>
        <v>'11A1',</v>
      </c>
      <c r="G3">
        <f>SEARCH(E3,$F$2)</f>
        <v>1</v>
      </c>
    </row>
    <row r="4" spans="1:7">
      <c r="A4" t="s">
        <v>145</v>
      </c>
      <c r="B4" t="str">
        <f t="shared" ref="B4:B67" si="0" xml:space="preserve"> "'" &amp; A4 &amp; "',"</f>
        <v>'34K6',</v>
      </c>
      <c r="C4">
        <f t="shared" ref="C4:C67" si="1">SEARCH(A4,$B$2)</f>
        <v>7</v>
      </c>
      <c r="E4" t="s">
        <v>11</v>
      </c>
      <c r="F4" t="str">
        <f t="shared" ref="F4:F67" si="2">"'" &amp;E4 &amp; "',"</f>
        <v>'11A2',</v>
      </c>
      <c r="G4">
        <f t="shared" ref="G4:G67" si="3">SEARCH(E4,$F$2)</f>
        <v>7</v>
      </c>
    </row>
    <row r="5" spans="1:7">
      <c r="A5" t="s">
        <v>147</v>
      </c>
      <c r="B5" t="str">
        <f t="shared" si="0"/>
        <v>'34K1',</v>
      </c>
      <c r="C5">
        <f t="shared" si="1"/>
        <v>13</v>
      </c>
      <c r="E5" t="s">
        <v>13</v>
      </c>
      <c r="F5" t="str">
        <f t="shared" si="2"/>
        <v>'11A5',</v>
      </c>
      <c r="G5">
        <f t="shared" si="3"/>
        <v>13</v>
      </c>
    </row>
    <row r="6" spans="1:7">
      <c r="A6" t="s">
        <v>149</v>
      </c>
      <c r="B6" t="str">
        <f t="shared" si="0"/>
        <v>'34K8',</v>
      </c>
      <c r="C6">
        <f t="shared" si="1"/>
        <v>19</v>
      </c>
      <c r="E6" t="s">
        <v>15</v>
      </c>
      <c r="F6" t="str">
        <f t="shared" si="2"/>
        <v>'11A9',</v>
      </c>
      <c r="G6">
        <f t="shared" si="3"/>
        <v>19</v>
      </c>
    </row>
    <row r="7" spans="1:7">
      <c r="A7" t="s">
        <v>151</v>
      </c>
      <c r="B7" t="str">
        <f t="shared" si="0"/>
        <v>'34K2',</v>
      </c>
      <c r="C7">
        <f t="shared" si="1"/>
        <v>25</v>
      </c>
      <c r="E7" t="s">
        <v>17</v>
      </c>
      <c r="F7" t="str">
        <f t="shared" si="2"/>
        <v>'11B4',</v>
      </c>
      <c r="G7">
        <f t="shared" si="3"/>
        <v>25</v>
      </c>
    </row>
    <row r="8" spans="1:7">
      <c r="A8" t="s">
        <v>153</v>
      </c>
      <c r="B8" t="str">
        <f t="shared" si="0"/>
        <v>'34K5',</v>
      </c>
      <c r="C8">
        <f t="shared" si="1"/>
        <v>31</v>
      </c>
      <c r="E8" t="s">
        <v>19</v>
      </c>
      <c r="F8" t="str">
        <f t="shared" si="2"/>
        <v>'11B3',</v>
      </c>
      <c r="G8">
        <f t="shared" si="3"/>
        <v>31</v>
      </c>
    </row>
    <row r="9" spans="1:7">
      <c r="A9" t="s">
        <v>155</v>
      </c>
      <c r="B9" t="str">
        <f t="shared" si="0"/>
        <v>'34K9',</v>
      </c>
      <c r="C9">
        <f t="shared" si="1"/>
        <v>37</v>
      </c>
      <c r="E9" t="s">
        <v>21</v>
      </c>
      <c r="F9" t="str">
        <f t="shared" si="2"/>
        <v>'11B9',</v>
      </c>
      <c r="G9">
        <f t="shared" si="3"/>
        <v>37</v>
      </c>
    </row>
    <row r="10" spans="1:7">
      <c r="A10" t="s">
        <v>157</v>
      </c>
      <c r="B10" t="str">
        <f t="shared" si="0"/>
        <v>'34Q7',</v>
      </c>
      <c r="C10">
        <f t="shared" si="1"/>
        <v>43</v>
      </c>
      <c r="E10" t="s">
        <v>23</v>
      </c>
      <c r="F10" t="str">
        <f t="shared" si="2"/>
        <v>'11C4',</v>
      </c>
      <c r="G10">
        <f t="shared" si="3"/>
        <v>43</v>
      </c>
    </row>
    <row r="11" spans="1:7">
      <c r="A11" t="s">
        <v>159</v>
      </c>
      <c r="B11" t="str">
        <f t="shared" si="0"/>
        <v>'34Q6',</v>
      </c>
      <c r="C11">
        <f t="shared" si="1"/>
        <v>49</v>
      </c>
      <c r="E11" t="s">
        <v>25</v>
      </c>
      <c r="F11" t="str">
        <f t="shared" si="2"/>
        <v>'11C3',</v>
      </c>
      <c r="G11">
        <f t="shared" si="3"/>
        <v>49</v>
      </c>
    </row>
    <row r="12" spans="1:7">
      <c r="A12" t="s">
        <v>161</v>
      </c>
      <c r="B12" t="str">
        <f t="shared" si="0"/>
        <v>'34Q1',</v>
      </c>
      <c r="C12">
        <f t="shared" si="1"/>
        <v>55</v>
      </c>
      <c r="E12" t="s">
        <v>27</v>
      </c>
      <c r="F12" t="str">
        <f t="shared" si="2"/>
        <v>'11C8',</v>
      </c>
      <c r="G12">
        <f t="shared" si="3"/>
        <v>55</v>
      </c>
    </row>
    <row r="13" spans="1:7">
      <c r="A13" t="s">
        <v>163</v>
      </c>
      <c r="B13" t="str">
        <f t="shared" si="0"/>
        <v>'34Q8',</v>
      </c>
      <c r="C13">
        <f t="shared" si="1"/>
        <v>61</v>
      </c>
      <c r="E13" t="s">
        <v>29</v>
      </c>
      <c r="F13" t="str">
        <f t="shared" si="2"/>
        <v>'11Q4',</v>
      </c>
      <c r="G13">
        <f t="shared" si="3"/>
        <v>61</v>
      </c>
    </row>
    <row r="14" spans="1:7">
      <c r="A14" t="s">
        <v>165</v>
      </c>
      <c r="B14" t="str">
        <f t="shared" si="0"/>
        <v>'34Q2',</v>
      </c>
      <c r="C14">
        <f t="shared" si="1"/>
        <v>67</v>
      </c>
      <c r="E14" t="s">
        <v>31</v>
      </c>
      <c r="F14" t="str">
        <f t="shared" si="2"/>
        <v>'11Q3',</v>
      </c>
      <c r="G14">
        <f t="shared" si="3"/>
        <v>67</v>
      </c>
    </row>
    <row r="15" spans="1:7">
      <c r="A15" t="s">
        <v>167</v>
      </c>
      <c r="B15" t="str">
        <f t="shared" si="0"/>
        <v>'34Q5',</v>
      </c>
      <c r="C15">
        <f t="shared" si="1"/>
        <v>73</v>
      </c>
      <c r="E15" t="s">
        <v>33</v>
      </c>
      <c r="F15" t="str">
        <f t="shared" si="2"/>
        <v>'11Q9',</v>
      </c>
      <c r="G15">
        <f t="shared" si="3"/>
        <v>73</v>
      </c>
    </row>
    <row r="16" spans="1:7">
      <c r="A16" t="s">
        <v>169</v>
      </c>
      <c r="B16" t="str">
        <f t="shared" si="0"/>
        <v>'34Q9',</v>
      </c>
      <c r="C16">
        <f t="shared" si="1"/>
        <v>79</v>
      </c>
      <c r="E16" t="s">
        <v>35</v>
      </c>
      <c r="F16" t="str">
        <f t="shared" si="2"/>
        <v>'11R3',</v>
      </c>
      <c r="G16">
        <f t="shared" si="3"/>
        <v>79</v>
      </c>
    </row>
    <row r="17" spans="1:7">
      <c r="A17" t="s">
        <v>171</v>
      </c>
      <c r="B17" t="str">
        <f t="shared" si="0"/>
        <v>'34S7',</v>
      </c>
      <c r="C17">
        <f t="shared" si="1"/>
        <v>85</v>
      </c>
      <c r="E17" t="s">
        <v>37</v>
      </c>
      <c r="F17" t="str">
        <f t="shared" si="2"/>
        <v>'11R4',</v>
      </c>
      <c r="G17">
        <f t="shared" si="3"/>
        <v>85</v>
      </c>
    </row>
    <row r="18" spans="1:7">
      <c r="A18" t="s">
        <v>173</v>
      </c>
      <c r="B18" t="str">
        <f t="shared" si="0"/>
        <v>'34S6',</v>
      </c>
      <c r="C18">
        <f t="shared" si="1"/>
        <v>91</v>
      </c>
      <c r="E18" t="s">
        <v>369</v>
      </c>
      <c r="F18" t="str">
        <f t="shared" si="2"/>
        <v>'52D6',</v>
      </c>
      <c r="G18">
        <f t="shared" si="3"/>
        <v>91</v>
      </c>
    </row>
    <row r="19" spans="1:7">
      <c r="A19" t="s">
        <v>175</v>
      </c>
      <c r="B19" t="str">
        <f t="shared" si="0"/>
        <v>'34S1',</v>
      </c>
      <c r="C19">
        <f t="shared" si="1"/>
        <v>97</v>
      </c>
      <c r="E19" t="s">
        <v>372</v>
      </c>
      <c r="F19" t="str">
        <f t="shared" si="2"/>
        <v>'52F6',</v>
      </c>
      <c r="G19">
        <f t="shared" si="3"/>
        <v>97</v>
      </c>
    </row>
    <row r="20" spans="1:7">
      <c r="A20" t="s">
        <v>177</v>
      </c>
      <c r="B20" t="str">
        <f t="shared" si="0"/>
        <v>'34S8',</v>
      </c>
      <c r="C20">
        <f t="shared" si="1"/>
        <v>103</v>
      </c>
      <c r="E20" t="s">
        <v>374</v>
      </c>
      <c r="F20" t="str">
        <f t="shared" si="2"/>
        <v>'52F1',</v>
      </c>
      <c r="G20">
        <f t="shared" si="3"/>
        <v>103</v>
      </c>
    </row>
    <row r="21" spans="1:7">
      <c r="A21" t="s">
        <v>179</v>
      </c>
      <c r="B21" t="str">
        <f t="shared" si="0"/>
        <v>'34S2',</v>
      </c>
      <c r="C21">
        <f t="shared" si="1"/>
        <v>109</v>
      </c>
      <c r="E21" t="s">
        <v>376</v>
      </c>
      <c r="F21" t="str">
        <f t="shared" si="2"/>
        <v>'52F8',</v>
      </c>
      <c r="G21">
        <f t="shared" si="3"/>
        <v>109</v>
      </c>
    </row>
    <row r="22" spans="1:7">
      <c r="A22" t="s">
        <v>181</v>
      </c>
      <c r="B22" t="str">
        <f t="shared" si="0"/>
        <v>'34S5',</v>
      </c>
      <c r="C22">
        <f t="shared" si="1"/>
        <v>115</v>
      </c>
      <c r="E22" t="s">
        <v>378</v>
      </c>
      <c r="F22" t="str">
        <f t="shared" si="2"/>
        <v>'52F2',</v>
      </c>
      <c r="G22">
        <f t="shared" si="3"/>
        <v>115</v>
      </c>
    </row>
    <row r="23" spans="1:7">
      <c r="A23" t="s">
        <v>183</v>
      </c>
      <c r="B23" t="str">
        <f t="shared" si="0"/>
        <v>'34S9',</v>
      </c>
      <c r="C23">
        <f t="shared" si="1"/>
        <v>121</v>
      </c>
      <c r="E23" t="s">
        <v>380</v>
      </c>
      <c r="F23" t="str">
        <f t="shared" si="2"/>
        <v>'52F5',</v>
      </c>
      <c r="G23">
        <f t="shared" si="3"/>
        <v>121</v>
      </c>
    </row>
    <row r="24" spans="1:7">
      <c r="A24" t="s">
        <v>185</v>
      </c>
      <c r="B24" t="str">
        <f t="shared" si="0"/>
        <v>'34W7',</v>
      </c>
      <c r="C24">
        <f t="shared" si="1"/>
        <v>127</v>
      </c>
      <c r="E24" t="s">
        <v>382</v>
      </c>
      <c r="F24" t="str">
        <f t="shared" si="2"/>
        <v>'52F9',</v>
      </c>
      <c r="G24">
        <f t="shared" si="3"/>
        <v>127</v>
      </c>
    </row>
    <row r="25" spans="1:7">
      <c r="A25" t="s">
        <v>187</v>
      </c>
      <c r="B25" t="str">
        <f t="shared" si="0"/>
        <v>'34W6',</v>
      </c>
      <c r="C25">
        <f t="shared" si="1"/>
        <v>133</v>
      </c>
      <c r="E25" t="s">
        <v>384</v>
      </c>
      <c r="F25" t="str">
        <f t="shared" si="2"/>
        <v>'52D1',</v>
      </c>
      <c r="G25">
        <f t="shared" si="3"/>
        <v>133</v>
      </c>
    </row>
    <row r="26" spans="1:7">
      <c r="A26" t="s">
        <v>189</v>
      </c>
      <c r="B26" t="str">
        <f t="shared" si="0"/>
        <v>'34W1',</v>
      </c>
      <c r="C26">
        <f t="shared" si="1"/>
        <v>139</v>
      </c>
      <c r="E26" t="s">
        <v>386</v>
      </c>
      <c r="F26" t="str">
        <f t="shared" si="2"/>
        <v>'52K6',</v>
      </c>
      <c r="G26">
        <f t="shared" si="3"/>
        <v>139</v>
      </c>
    </row>
    <row r="27" spans="1:7">
      <c r="A27" t="s">
        <v>191</v>
      </c>
      <c r="B27" t="str">
        <f t="shared" si="0"/>
        <v>'34W8',</v>
      </c>
      <c r="C27">
        <f t="shared" si="1"/>
        <v>145</v>
      </c>
      <c r="E27" t="s">
        <v>388</v>
      </c>
      <c r="F27" t="str">
        <f t="shared" si="2"/>
        <v>'52K1',</v>
      </c>
      <c r="G27">
        <f t="shared" si="3"/>
        <v>145</v>
      </c>
    </row>
    <row r="28" spans="1:7">
      <c r="A28" t="s">
        <v>193</v>
      </c>
      <c r="B28" t="str">
        <f t="shared" si="0"/>
        <v>'34W2',</v>
      </c>
      <c r="C28">
        <f t="shared" si="1"/>
        <v>151</v>
      </c>
      <c r="E28" t="s">
        <v>390</v>
      </c>
      <c r="F28" t="str">
        <f t="shared" si="2"/>
        <v>'52K8',</v>
      </c>
      <c r="G28">
        <f t="shared" si="3"/>
        <v>151</v>
      </c>
    </row>
    <row r="29" spans="1:7">
      <c r="A29" t="s">
        <v>195</v>
      </c>
      <c r="B29" t="str">
        <f t="shared" si="0"/>
        <v>'34W5',</v>
      </c>
      <c r="C29">
        <f t="shared" si="1"/>
        <v>157</v>
      </c>
      <c r="E29" t="s">
        <v>392</v>
      </c>
      <c r="F29" t="str">
        <f t="shared" si="2"/>
        <v>'52K2',</v>
      </c>
      <c r="G29">
        <f t="shared" si="3"/>
        <v>157</v>
      </c>
    </row>
    <row r="30" spans="1:7">
      <c r="A30" t="s">
        <v>197</v>
      </c>
      <c r="B30" t="str">
        <f t="shared" si="0"/>
        <v>'34W9',</v>
      </c>
      <c r="C30">
        <f t="shared" si="1"/>
        <v>163</v>
      </c>
      <c r="E30" t="s">
        <v>394</v>
      </c>
      <c r="F30" t="str">
        <f t="shared" si="2"/>
        <v>'52K5',</v>
      </c>
      <c r="G30">
        <f t="shared" si="3"/>
        <v>163</v>
      </c>
    </row>
    <row r="31" spans="1:7">
      <c r="A31" t="s">
        <v>199</v>
      </c>
      <c r="B31" t="str">
        <f t="shared" si="0"/>
        <v>'24K7',</v>
      </c>
      <c r="C31">
        <f t="shared" si="1"/>
        <v>169</v>
      </c>
      <c r="E31" t="s">
        <v>396</v>
      </c>
      <c r="F31" t="str">
        <f t="shared" si="2"/>
        <v>'52K9',</v>
      </c>
      <c r="G31">
        <f t="shared" si="3"/>
        <v>169</v>
      </c>
    </row>
    <row r="32" spans="1:7">
      <c r="A32" t="s">
        <v>201</v>
      </c>
      <c r="B32" t="str">
        <f t="shared" si="0"/>
        <v>'24K6',</v>
      </c>
      <c r="C32">
        <f t="shared" si="1"/>
        <v>175</v>
      </c>
      <c r="E32" t="s">
        <v>398</v>
      </c>
      <c r="F32" t="str">
        <f t="shared" si="2"/>
        <v>'52D8',</v>
      </c>
      <c r="G32">
        <f t="shared" si="3"/>
        <v>175</v>
      </c>
    </row>
    <row r="33" spans="1:7">
      <c r="A33" t="s">
        <v>203</v>
      </c>
      <c r="B33" t="str">
        <f t="shared" si="0"/>
        <v>'24K1',</v>
      </c>
      <c r="C33">
        <f t="shared" si="1"/>
        <v>181</v>
      </c>
      <c r="E33" t="s">
        <v>400</v>
      </c>
      <c r="F33" t="str">
        <f t="shared" si="2"/>
        <v>'52D2',</v>
      </c>
      <c r="G33">
        <f t="shared" si="3"/>
        <v>181</v>
      </c>
    </row>
    <row r="34" spans="1:7">
      <c r="A34" t="s">
        <v>205</v>
      </c>
      <c r="B34" t="str">
        <f t="shared" si="0"/>
        <v>'24K8',</v>
      </c>
      <c r="C34">
        <f t="shared" si="1"/>
        <v>187</v>
      </c>
      <c r="E34" t="s">
        <v>402</v>
      </c>
      <c r="F34" t="str">
        <f t="shared" si="2"/>
        <v>'52A6',</v>
      </c>
      <c r="G34">
        <f t="shared" si="3"/>
        <v>187</v>
      </c>
    </row>
    <row r="35" spans="1:7">
      <c r="A35" t="s">
        <v>207</v>
      </c>
      <c r="B35" t="str">
        <f t="shared" si="0"/>
        <v>'24K2',</v>
      </c>
      <c r="C35">
        <f t="shared" si="1"/>
        <v>193</v>
      </c>
      <c r="E35" t="s">
        <v>404</v>
      </c>
      <c r="F35" t="str">
        <f t="shared" si="2"/>
        <v>'52D5',</v>
      </c>
      <c r="G35">
        <f t="shared" si="3"/>
        <v>193</v>
      </c>
    </row>
    <row r="36" spans="1:7">
      <c r="A36" t="s">
        <v>209</v>
      </c>
      <c r="B36" t="str">
        <f t="shared" si="0"/>
        <v>'24K5',</v>
      </c>
      <c r="C36">
        <f t="shared" si="1"/>
        <v>199</v>
      </c>
      <c r="E36" t="s">
        <v>406</v>
      </c>
      <c r="F36" t="str">
        <f t="shared" si="2"/>
        <v>'52D9',</v>
      </c>
      <c r="G36">
        <f t="shared" si="3"/>
        <v>199</v>
      </c>
    </row>
    <row r="37" spans="1:7">
      <c r="A37" t="s">
        <v>211</v>
      </c>
      <c r="B37" t="str">
        <f t="shared" si="0"/>
        <v>'24K9',</v>
      </c>
      <c r="C37">
        <f t="shared" si="1"/>
        <v>205</v>
      </c>
      <c r="E37" t="s">
        <v>408</v>
      </c>
      <c r="F37" t="str">
        <f t="shared" si="2"/>
        <v>'52V6',</v>
      </c>
      <c r="G37">
        <f t="shared" si="3"/>
        <v>205</v>
      </c>
    </row>
    <row r="38" spans="1:7">
      <c r="A38" t="s">
        <v>213</v>
      </c>
      <c r="B38" t="str">
        <f t="shared" si="0"/>
        <v>'24Q7',</v>
      </c>
      <c r="C38">
        <f t="shared" si="1"/>
        <v>211</v>
      </c>
      <c r="E38" t="s">
        <v>410</v>
      </c>
      <c r="F38" t="str">
        <f t="shared" si="2"/>
        <v>'52V1',</v>
      </c>
      <c r="G38">
        <f t="shared" si="3"/>
        <v>211</v>
      </c>
    </row>
    <row r="39" spans="1:7">
      <c r="A39" t="s">
        <v>215</v>
      </c>
      <c r="B39" t="str">
        <f t="shared" si="0"/>
        <v>'24Q6',</v>
      </c>
      <c r="C39">
        <f t="shared" si="1"/>
        <v>217</v>
      </c>
      <c r="E39" t="s">
        <v>412</v>
      </c>
      <c r="F39" t="str">
        <f t="shared" si="2"/>
        <v>'52V2',</v>
      </c>
      <c r="G39">
        <f t="shared" si="3"/>
        <v>217</v>
      </c>
    </row>
    <row r="40" spans="1:7">
      <c r="A40" t="s">
        <v>217</v>
      </c>
      <c r="B40" t="str">
        <f t="shared" si="0"/>
        <v>'24Q1',</v>
      </c>
      <c r="C40">
        <f t="shared" si="1"/>
        <v>223</v>
      </c>
      <c r="E40" t="s">
        <v>414</v>
      </c>
      <c r="F40" t="str">
        <f t="shared" si="2"/>
        <v>'52V5',</v>
      </c>
      <c r="G40">
        <f t="shared" si="3"/>
        <v>223</v>
      </c>
    </row>
    <row r="41" spans="1:7">
      <c r="A41" t="s">
        <v>219</v>
      </c>
      <c r="B41" t="str">
        <f t="shared" si="0"/>
        <v>'24Q8',</v>
      </c>
      <c r="C41">
        <f t="shared" si="1"/>
        <v>229</v>
      </c>
      <c r="E41" t="s">
        <v>416</v>
      </c>
      <c r="F41" t="str">
        <f t="shared" si="2"/>
        <v>'52V9',</v>
      </c>
      <c r="G41">
        <f t="shared" si="3"/>
        <v>229</v>
      </c>
    </row>
    <row r="42" spans="1:7">
      <c r="A42" t="s">
        <v>221</v>
      </c>
      <c r="B42" t="str">
        <f t="shared" si="0"/>
        <v>'24Q2',</v>
      </c>
      <c r="C42">
        <f t="shared" si="1"/>
        <v>235</v>
      </c>
      <c r="E42" t="s">
        <v>424</v>
      </c>
      <c r="F42" t="str">
        <f t="shared" si="2"/>
        <v>'33',</v>
      </c>
      <c r="G42">
        <f t="shared" si="3"/>
        <v>235</v>
      </c>
    </row>
    <row r="43" spans="1:7">
      <c r="A43" t="s">
        <v>223</v>
      </c>
      <c r="B43" t="str">
        <f t="shared" si="0"/>
        <v>'24Q5',</v>
      </c>
      <c r="C43">
        <f t="shared" si="1"/>
        <v>241</v>
      </c>
      <c r="E43" t="s">
        <v>427</v>
      </c>
      <c r="F43" t="str">
        <f t="shared" si="2"/>
        <v>'33S5',</v>
      </c>
      <c r="G43">
        <f t="shared" si="3"/>
        <v>239</v>
      </c>
    </row>
    <row r="44" spans="1:7">
      <c r="A44" t="s">
        <v>225</v>
      </c>
      <c r="B44" t="str">
        <f t="shared" si="0"/>
        <v>'24Q9',</v>
      </c>
      <c r="C44">
        <f t="shared" si="1"/>
        <v>247</v>
      </c>
      <c r="E44" t="s">
        <v>429</v>
      </c>
      <c r="F44" t="str">
        <f t="shared" si="2"/>
        <v>'33T9',</v>
      </c>
      <c r="G44">
        <f t="shared" si="3"/>
        <v>245</v>
      </c>
    </row>
    <row r="45" spans="1:7">
      <c r="A45" t="s">
        <v>227</v>
      </c>
      <c r="B45" t="str">
        <f t="shared" si="0"/>
        <v>'24S7',</v>
      </c>
      <c r="C45">
        <f t="shared" si="1"/>
        <v>253</v>
      </c>
      <c r="E45" t="s">
        <v>510</v>
      </c>
      <c r="F45" t="str">
        <f t="shared" si="2"/>
        <v>'10H1',</v>
      </c>
      <c r="G45">
        <f t="shared" si="3"/>
        <v>251</v>
      </c>
    </row>
    <row r="46" spans="1:7">
      <c r="A46" t="s">
        <v>229</v>
      </c>
      <c r="B46" t="str">
        <f t="shared" si="0"/>
        <v>'24S6',</v>
      </c>
      <c r="C46">
        <f t="shared" si="1"/>
        <v>259</v>
      </c>
      <c r="E46" t="s">
        <v>513</v>
      </c>
      <c r="F46" t="str">
        <f t="shared" si="2"/>
        <v>'10H8',</v>
      </c>
      <c r="G46">
        <f t="shared" si="3"/>
        <v>257</v>
      </c>
    </row>
    <row r="47" spans="1:7">
      <c r="A47" t="s">
        <v>231</v>
      </c>
      <c r="B47" t="str">
        <f t="shared" si="0"/>
        <v>'24S1',</v>
      </c>
      <c r="C47">
        <f t="shared" si="1"/>
        <v>265</v>
      </c>
      <c r="E47" t="s">
        <v>515</v>
      </c>
      <c r="F47" t="str">
        <f t="shared" si="2"/>
        <v>'10H2',</v>
      </c>
      <c r="G47">
        <f t="shared" si="3"/>
        <v>263</v>
      </c>
    </row>
    <row r="48" spans="1:7">
      <c r="A48" t="s">
        <v>233</v>
      </c>
      <c r="B48" t="str">
        <f t="shared" si="0"/>
        <v>'24S2',</v>
      </c>
      <c r="C48">
        <f t="shared" si="1"/>
        <v>271</v>
      </c>
      <c r="E48" t="s">
        <v>517</v>
      </c>
      <c r="F48" t="str">
        <f t="shared" si="2"/>
        <v>'10H5',</v>
      </c>
      <c r="G48">
        <f t="shared" si="3"/>
        <v>269</v>
      </c>
    </row>
    <row r="49" spans="1:7">
      <c r="A49" t="s">
        <v>235</v>
      </c>
      <c r="B49" t="str">
        <f t="shared" si="0"/>
        <v>'24S5',</v>
      </c>
      <c r="C49">
        <f t="shared" si="1"/>
        <v>277</v>
      </c>
      <c r="E49" t="s">
        <v>519</v>
      </c>
      <c r="F49" t="str">
        <f t="shared" si="2"/>
        <v>'10H9',</v>
      </c>
      <c r="G49">
        <f t="shared" si="3"/>
        <v>275</v>
      </c>
    </row>
    <row r="50" spans="1:7">
      <c r="A50" t="s">
        <v>237</v>
      </c>
      <c r="B50" t="str">
        <f t="shared" si="0"/>
        <v>'24S9',</v>
      </c>
      <c r="C50">
        <f t="shared" si="1"/>
        <v>283</v>
      </c>
      <c r="E50" t="s">
        <v>521</v>
      </c>
      <c r="F50" t="str">
        <f t="shared" si="2"/>
        <v>'10F1',</v>
      </c>
      <c r="G50">
        <f t="shared" si="3"/>
        <v>281</v>
      </c>
    </row>
    <row r="51" spans="1:7">
      <c r="A51" t="s">
        <v>239</v>
      </c>
      <c r="B51" t="str">
        <f t="shared" si="0"/>
        <v>'24W7',</v>
      </c>
      <c r="C51">
        <f t="shared" si="1"/>
        <v>289</v>
      </c>
      <c r="E51" t="s">
        <v>523</v>
      </c>
      <c r="F51" t="str">
        <f t="shared" si="2"/>
        <v>'10F8',</v>
      </c>
      <c r="G51">
        <f t="shared" si="3"/>
        <v>287</v>
      </c>
    </row>
    <row r="52" spans="1:7">
      <c r="A52" t="s">
        <v>241</v>
      </c>
      <c r="B52" t="str">
        <f t="shared" si="0"/>
        <v>'24W6',</v>
      </c>
      <c r="C52">
        <f t="shared" si="1"/>
        <v>295</v>
      </c>
      <c r="E52" t="s">
        <v>525</v>
      </c>
      <c r="F52" t="str">
        <f t="shared" si="2"/>
        <v>'10F2',</v>
      </c>
      <c r="G52">
        <f t="shared" si="3"/>
        <v>293</v>
      </c>
    </row>
    <row r="53" spans="1:7">
      <c r="A53" t="s">
        <v>243</v>
      </c>
      <c r="B53" t="str">
        <f t="shared" si="0"/>
        <v>'24W1',</v>
      </c>
      <c r="C53">
        <f t="shared" si="1"/>
        <v>301</v>
      </c>
      <c r="E53" t="s">
        <v>527</v>
      </c>
      <c r="F53" t="str">
        <f t="shared" si="2"/>
        <v>'10F5',</v>
      </c>
      <c r="G53">
        <f t="shared" si="3"/>
        <v>299</v>
      </c>
    </row>
    <row r="54" spans="1:7">
      <c r="A54" t="s">
        <v>245</v>
      </c>
      <c r="B54" t="str">
        <f t="shared" si="0"/>
        <v>'24W8',</v>
      </c>
      <c r="C54">
        <f t="shared" si="1"/>
        <v>307</v>
      </c>
      <c r="E54" t="s">
        <v>529</v>
      </c>
      <c r="F54" t="str">
        <f t="shared" si="2"/>
        <v>'10F9',</v>
      </c>
      <c r="G54">
        <f t="shared" si="3"/>
        <v>305</v>
      </c>
    </row>
    <row r="55" spans="1:7">
      <c r="A55" t="s">
        <v>247</v>
      </c>
      <c r="B55" t="str">
        <f t="shared" si="0"/>
        <v>'24W2',</v>
      </c>
      <c r="C55">
        <f t="shared" si="1"/>
        <v>313</v>
      </c>
      <c r="E55" t="s">
        <v>531</v>
      </c>
      <c r="F55" t="str">
        <f t="shared" si="2"/>
        <v>'10K1',</v>
      </c>
      <c r="G55">
        <f t="shared" si="3"/>
        <v>311</v>
      </c>
    </row>
    <row r="56" spans="1:7">
      <c r="A56" t="s">
        <v>249</v>
      </c>
      <c r="B56" t="str">
        <f t="shared" si="0"/>
        <v>'24W5',</v>
      </c>
      <c r="C56">
        <f t="shared" si="1"/>
        <v>319</v>
      </c>
      <c r="E56" t="s">
        <v>533</v>
      </c>
      <c r="F56" t="str">
        <f t="shared" si="2"/>
        <v>'10K8',</v>
      </c>
      <c r="G56">
        <f t="shared" si="3"/>
        <v>317</v>
      </c>
    </row>
    <row r="57" spans="1:7">
      <c r="A57" t="s">
        <v>251</v>
      </c>
      <c r="B57" t="str">
        <f t="shared" si="0"/>
        <v>'24W9',</v>
      </c>
      <c r="C57">
        <f t="shared" si="1"/>
        <v>325</v>
      </c>
      <c r="E57" t="s">
        <v>535</v>
      </c>
      <c r="F57" t="str">
        <f t="shared" si="2"/>
        <v>'10K2',</v>
      </c>
      <c r="G57">
        <f t="shared" si="3"/>
        <v>323</v>
      </c>
    </row>
    <row r="58" spans="1:7">
      <c r="A58" t="s">
        <v>296</v>
      </c>
      <c r="B58" t="str">
        <f t="shared" si="0"/>
        <v>'31C',</v>
      </c>
      <c r="C58">
        <f t="shared" si="1"/>
        <v>331</v>
      </c>
      <c r="E58" t="s">
        <v>537</v>
      </c>
      <c r="F58" t="str">
        <f t="shared" si="2"/>
        <v>'10K5',</v>
      </c>
      <c r="G58">
        <f t="shared" si="3"/>
        <v>329</v>
      </c>
    </row>
    <row r="59" spans="1:7">
      <c r="A59" t="s">
        <v>299</v>
      </c>
      <c r="B59" t="str">
        <f t="shared" si="0"/>
        <v>'31C9',</v>
      </c>
      <c r="C59">
        <f t="shared" si="1"/>
        <v>336</v>
      </c>
      <c r="E59" t="s">
        <v>539</v>
      </c>
      <c r="F59" t="str">
        <f t="shared" si="2"/>
        <v>'10K9',</v>
      </c>
      <c r="G59">
        <f t="shared" si="3"/>
        <v>335</v>
      </c>
    </row>
    <row r="60" spans="1:7">
      <c r="A60" t="s">
        <v>301</v>
      </c>
      <c r="B60" t="str">
        <f t="shared" si="0"/>
        <v>'31Q',</v>
      </c>
      <c r="C60">
        <f t="shared" si="1"/>
        <v>342</v>
      </c>
      <c r="E60" t="s">
        <v>541</v>
      </c>
      <c r="F60" t="str">
        <f t="shared" si="2"/>
        <v>'10M1',</v>
      </c>
      <c r="G60">
        <f t="shared" si="3"/>
        <v>341</v>
      </c>
    </row>
    <row r="61" spans="1:7">
      <c r="A61" t="s">
        <v>303</v>
      </c>
      <c r="B61" t="str">
        <f t="shared" si="0"/>
        <v>'31C8',</v>
      </c>
      <c r="C61">
        <f t="shared" si="1"/>
        <v>347</v>
      </c>
      <c r="E61" t="s">
        <v>543</v>
      </c>
      <c r="F61" t="str">
        <f t="shared" si="2"/>
        <v>'10M2',</v>
      </c>
      <c r="G61">
        <f t="shared" si="3"/>
        <v>347</v>
      </c>
    </row>
    <row r="62" spans="1:7">
      <c r="A62" t="s">
        <v>305</v>
      </c>
      <c r="B62" t="str">
        <f t="shared" si="0"/>
        <v>'31Q8',</v>
      </c>
      <c r="C62">
        <f t="shared" si="1"/>
        <v>353</v>
      </c>
      <c r="E62" t="s">
        <v>545</v>
      </c>
      <c r="F62" t="str">
        <f t="shared" si="2"/>
        <v>'10M5',</v>
      </c>
      <c r="G62">
        <f t="shared" si="3"/>
        <v>353</v>
      </c>
    </row>
    <row r="63" spans="1:7">
      <c r="A63" t="s">
        <v>306</v>
      </c>
      <c r="B63" t="str">
        <f t="shared" si="0"/>
        <v>'31Q5',</v>
      </c>
      <c r="C63">
        <f t="shared" si="1"/>
        <v>359</v>
      </c>
      <c r="E63" t="s">
        <v>547</v>
      </c>
      <c r="F63" t="str">
        <f t="shared" si="2"/>
        <v>'10M9',</v>
      </c>
      <c r="G63">
        <f t="shared" si="3"/>
        <v>359</v>
      </c>
    </row>
    <row r="64" spans="1:7">
      <c r="A64" t="s">
        <v>308</v>
      </c>
      <c r="B64" t="str">
        <f t="shared" si="0"/>
        <v>'31Q9',</v>
      </c>
      <c r="C64">
        <f t="shared" si="1"/>
        <v>365</v>
      </c>
      <c r="E64" t="s">
        <v>549</v>
      </c>
      <c r="F64" t="str">
        <f t="shared" si="2"/>
        <v>'10N1',</v>
      </c>
      <c r="G64">
        <f t="shared" si="3"/>
        <v>365</v>
      </c>
    </row>
    <row r="65" spans="1:7">
      <c r="A65" t="s">
        <v>310</v>
      </c>
      <c r="B65" t="str">
        <f t="shared" si="0"/>
        <v>'31R',</v>
      </c>
      <c r="C65">
        <f t="shared" si="1"/>
        <v>371</v>
      </c>
      <c r="E65" t="s">
        <v>551</v>
      </c>
      <c r="F65" t="str">
        <f t="shared" si="2"/>
        <v>'10N8',</v>
      </c>
      <c r="G65">
        <f t="shared" si="3"/>
        <v>371</v>
      </c>
    </row>
    <row r="66" spans="1:7">
      <c r="A66" t="s">
        <v>312</v>
      </c>
      <c r="B66" t="str">
        <f t="shared" si="0"/>
        <v>'21C',</v>
      </c>
      <c r="C66">
        <f t="shared" si="1"/>
        <v>376</v>
      </c>
      <c r="E66" t="s">
        <v>553</v>
      </c>
      <c r="F66" t="str">
        <f t="shared" si="2"/>
        <v>'10N2',</v>
      </c>
      <c r="G66">
        <f t="shared" si="3"/>
        <v>377</v>
      </c>
    </row>
    <row r="67" spans="1:7">
      <c r="A67" t="s">
        <v>314</v>
      </c>
      <c r="B67" t="str">
        <f t="shared" si="0"/>
        <v>'21C9',</v>
      </c>
      <c r="C67">
        <f t="shared" si="1"/>
        <v>381</v>
      </c>
      <c r="E67" t="s">
        <v>555</v>
      </c>
      <c r="F67" t="str">
        <f t="shared" si="2"/>
        <v>'10N5',</v>
      </c>
      <c r="G67">
        <f t="shared" si="3"/>
        <v>383</v>
      </c>
    </row>
    <row r="68" spans="1:7">
      <c r="A68" t="s">
        <v>316</v>
      </c>
      <c r="B68" t="str">
        <f t="shared" ref="B68:B131" si="4" xml:space="preserve"> "'" &amp; A68 &amp; "',"</f>
        <v>'21Q',</v>
      </c>
      <c r="C68">
        <f t="shared" ref="C68:C131" si="5">SEARCH(A68,$B$2)</f>
        <v>387</v>
      </c>
      <c r="E68" t="s">
        <v>557</v>
      </c>
      <c r="F68" t="str">
        <f t="shared" ref="F68:F120" si="6">"'" &amp;E68 &amp; "',"</f>
        <v>'10N9',</v>
      </c>
      <c r="G68">
        <f t="shared" ref="G68:G120" si="7">SEARCH(E68,$F$2)</f>
        <v>389</v>
      </c>
    </row>
    <row r="69" spans="1:7">
      <c r="A69" t="s">
        <v>318</v>
      </c>
      <c r="B69" t="str">
        <f t="shared" si="4"/>
        <v>'21Q5',</v>
      </c>
      <c r="C69">
        <f t="shared" si="5"/>
        <v>392</v>
      </c>
      <c r="E69" t="s">
        <v>559</v>
      </c>
      <c r="F69" t="str">
        <f t="shared" si="6"/>
        <v>'10Q1',</v>
      </c>
      <c r="G69">
        <f t="shared" si="7"/>
        <v>395</v>
      </c>
    </row>
    <row r="70" spans="1:7">
      <c r="A70" t="s">
        <v>320</v>
      </c>
      <c r="B70" t="str">
        <f t="shared" si="4"/>
        <v>'21Q9',</v>
      </c>
      <c r="C70">
        <f t="shared" si="5"/>
        <v>398</v>
      </c>
      <c r="E70" t="s">
        <v>561</v>
      </c>
      <c r="F70" t="str">
        <f t="shared" si="6"/>
        <v>'10Q8',</v>
      </c>
      <c r="G70">
        <f t="shared" si="7"/>
        <v>401</v>
      </c>
    </row>
    <row r="71" spans="1:7">
      <c r="A71" t="s">
        <v>322</v>
      </c>
      <c r="B71" t="str">
        <f t="shared" si="4"/>
        <v>'21R',</v>
      </c>
      <c r="C71">
        <f t="shared" si="5"/>
        <v>404</v>
      </c>
      <c r="E71" t="s">
        <v>563</v>
      </c>
      <c r="F71" t="str">
        <f t="shared" si="6"/>
        <v>'10Q2',</v>
      </c>
      <c r="G71">
        <f t="shared" si="7"/>
        <v>407</v>
      </c>
    </row>
    <row r="72" spans="1:7">
      <c r="A72" t="s">
        <v>340</v>
      </c>
      <c r="B72" t="str">
        <f t="shared" si="4"/>
        <v>'50G1',</v>
      </c>
      <c r="C72">
        <f t="shared" si="5"/>
        <v>409</v>
      </c>
      <c r="E72" t="s">
        <v>565</v>
      </c>
      <c r="F72" t="str">
        <f t="shared" si="6"/>
        <v>'10Y5',</v>
      </c>
      <c r="G72">
        <f t="shared" si="7"/>
        <v>413</v>
      </c>
    </row>
    <row r="73" spans="1:7">
      <c r="A73" t="s">
        <v>343</v>
      </c>
      <c r="B73" t="str">
        <f t="shared" si="4"/>
        <v>'50G8',</v>
      </c>
      <c r="C73">
        <f t="shared" si="5"/>
        <v>415</v>
      </c>
      <c r="E73" t="s">
        <v>567</v>
      </c>
      <c r="F73" t="str">
        <f t="shared" si="6"/>
        <v>'10Q5',</v>
      </c>
      <c r="G73">
        <f t="shared" si="7"/>
        <v>419</v>
      </c>
    </row>
    <row r="74" spans="1:7">
      <c r="A74" t="s">
        <v>345</v>
      </c>
      <c r="B74" t="str">
        <f t="shared" si="4"/>
        <v>'50G2',</v>
      </c>
      <c r="C74">
        <f t="shared" si="5"/>
        <v>421</v>
      </c>
      <c r="E74" t="s">
        <v>568</v>
      </c>
      <c r="F74" t="str">
        <f t="shared" si="6"/>
        <v>'10Q9',</v>
      </c>
      <c r="G74">
        <f t="shared" si="7"/>
        <v>425</v>
      </c>
    </row>
    <row r="75" spans="1:7">
      <c r="A75" t="s">
        <v>347</v>
      </c>
      <c r="B75" t="str">
        <f t="shared" si="4"/>
        <v>'50G5',</v>
      </c>
      <c r="C75">
        <f t="shared" si="5"/>
        <v>427</v>
      </c>
      <c r="E75" t="s">
        <v>570</v>
      </c>
      <c r="F75" t="str">
        <f t="shared" si="6"/>
        <v>'10Y7',</v>
      </c>
      <c r="G75">
        <f t="shared" si="7"/>
        <v>431</v>
      </c>
    </row>
    <row r="76" spans="1:7">
      <c r="A76" t="s">
        <v>349</v>
      </c>
      <c r="B76" t="str">
        <f t="shared" si="4"/>
        <v>'50G9',</v>
      </c>
      <c r="C76">
        <f t="shared" si="5"/>
        <v>433</v>
      </c>
      <c r="E76" t="s">
        <v>572</v>
      </c>
      <c r="F76" t="str">
        <f t="shared" si="6"/>
        <v>'10Y8',</v>
      </c>
      <c r="G76">
        <f t="shared" si="7"/>
        <v>437</v>
      </c>
    </row>
    <row r="77" spans="1:7">
      <c r="A77" t="s">
        <v>351</v>
      </c>
      <c r="B77" t="str">
        <f t="shared" si="4"/>
        <v>'50N1',</v>
      </c>
      <c r="C77">
        <f t="shared" si="5"/>
        <v>439</v>
      </c>
      <c r="E77" t="s">
        <v>574</v>
      </c>
      <c r="F77" t="str">
        <f t="shared" si="6"/>
        <v>'10Y9',</v>
      </c>
      <c r="G77">
        <f t="shared" si="7"/>
        <v>443</v>
      </c>
    </row>
    <row r="78" spans="1:7">
      <c r="A78" t="s">
        <v>353</v>
      </c>
      <c r="B78" t="str">
        <f t="shared" si="4"/>
        <v>'50N8',</v>
      </c>
      <c r="C78">
        <f t="shared" si="5"/>
        <v>445</v>
      </c>
      <c r="E78" t="s">
        <v>576</v>
      </c>
      <c r="F78" t="str">
        <f t="shared" si="6"/>
        <v>'10Y3',</v>
      </c>
      <c r="G78">
        <f t="shared" si="7"/>
        <v>449</v>
      </c>
    </row>
    <row r="79" spans="1:7">
      <c r="A79" t="s">
        <v>355</v>
      </c>
      <c r="B79" t="str">
        <f t="shared" si="4"/>
        <v>'50N2',</v>
      </c>
      <c r="C79">
        <f t="shared" si="5"/>
        <v>451</v>
      </c>
      <c r="E79" t="s">
        <v>578</v>
      </c>
      <c r="F79" t="str">
        <f t="shared" si="6"/>
        <v>'10S1',</v>
      </c>
      <c r="G79">
        <f t="shared" si="7"/>
        <v>455</v>
      </c>
    </row>
    <row r="80" spans="1:7">
      <c r="A80" t="s">
        <v>357</v>
      </c>
      <c r="B80" t="str">
        <f t="shared" si="4"/>
        <v>'50N9',</v>
      </c>
      <c r="C80">
        <f t="shared" si="5"/>
        <v>457</v>
      </c>
      <c r="E80" t="s">
        <v>580</v>
      </c>
      <c r="F80" t="str">
        <f t="shared" si="6"/>
        <v>'10S2',</v>
      </c>
      <c r="G80">
        <f t="shared" si="7"/>
        <v>461</v>
      </c>
    </row>
    <row r="81" spans="1:7">
      <c r="A81" t="s">
        <v>359</v>
      </c>
      <c r="B81" t="str">
        <f t="shared" si="4"/>
        <v>'50P1',</v>
      </c>
      <c r="C81">
        <f t="shared" si="5"/>
        <v>463</v>
      </c>
      <c r="E81" t="s">
        <v>582</v>
      </c>
      <c r="F81" t="str">
        <f t="shared" si="6"/>
        <v>'10S5',</v>
      </c>
      <c r="G81">
        <f t="shared" si="7"/>
        <v>467</v>
      </c>
    </row>
    <row r="82" spans="1:7">
      <c r="A82" t="s">
        <v>361</v>
      </c>
      <c r="B82" t="str">
        <f t="shared" si="4"/>
        <v>'50P8',</v>
      </c>
      <c r="C82">
        <f t="shared" si="5"/>
        <v>469</v>
      </c>
      <c r="E82" t="s">
        <v>584</v>
      </c>
      <c r="F82" t="str">
        <f t="shared" si="6"/>
        <v>'10S9',</v>
      </c>
      <c r="G82">
        <f t="shared" si="7"/>
        <v>473</v>
      </c>
    </row>
    <row r="83" spans="1:7">
      <c r="A83" t="s">
        <v>363</v>
      </c>
      <c r="B83" t="str">
        <f t="shared" si="4"/>
        <v>'50P2',</v>
      </c>
      <c r="C83">
        <f t="shared" si="5"/>
        <v>475</v>
      </c>
      <c r="E83" t="s">
        <v>586</v>
      </c>
      <c r="F83" t="str">
        <f t="shared" si="6"/>
        <v>'10S8',</v>
      </c>
      <c r="G83">
        <f t="shared" si="7"/>
        <v>479</v>
      </c>
    </row>
    <row r="84" spans="1:7">
      <c r="A84" t="s">
        <v>365</v>
      </c>
      <c r="B84" t="str">
        <f t="shared" si="4"/>
        <v>'50P5',</v>
      </c>
      <c r="C84">
        <f t="shared" si="5"/>
        <v>481</v>
      </c>
      <c r="E84" t="s">
        <v>588</v>
      </c>
      <c r="F84" t="str">
        <f t="shared" si="6"/>
        <v>'10P1',</v>
      </c>
      <c r="G84">
        <f t="shared" si="7"/>
        <v>485</v>
      </c>
    </row>
    <row r="85" spans="1:7">
      <c r="A85" t="s">
        <v>367</v>
      </c>
      <c r="B85" t="str">
        <f t="shared" si="4"/>
        <v>'50P9',</v>
      </c>
      <c r="C85">
        <f t="shared" si="5"/>
        <v>487</v>
      </c>
      <c r="E85" t="s">
        <v>590</v>
      </c>
      <c r="F85" t="str">
        <f t="shared" si="6"/>
        <v>'10P8',</v>
      </c>
      <c r="G85">
        <f t="shared" si="7"/>
        <v>491</v>
      </c>
    </row>
    <row r="86" spans="1:7">
      <c r="A86" t="s">
        <v>606</v>
      </c>
      <c r="B86" t="str">
        <f t="shared" si="4"/>
        <v>'32P1',</v>
      </c>
      <c r="C86">
        <f t="shared" si="5"/>
        <v>493</v>
      </c>
      <c r="E86" t="s">
        <v>592</v>
      </c>
      <c r="F86" t="str">
        <f t="shared" si="6"/>
        <v>'10P2',</v>
      </c>
      <c r="G86">
        <f t="shared" si="7"/>
        <v>497</v>
      </c>
    </row>
    <row r="87" spans="1:7">
      <c r="A87" t="s">
        <v>609</v>
      </c>
      <c r="B87" t="str">
        <f t="shared" si="4"/>
        <v>'32P8',</v>
      </c>
      <c r="C87">
        <f t="shared" si="5"/>
        <v>499</v>
      </c>
      <c r="E87" t="s">
        <v>594</v>
      </c>
      <c r="F87" t="str">
        <f t="shared" si="6"/>
        <v>'10P5',</v>
      </c>
      <c r="G87">
        <f t="shared" si="7"/>
        <v>503</v>
      </c>
    </row>
    <row r="88" spans="1:7">
      <c r="A88" t="s">
        <v>611</v>
      </c>
      <c r="B88" t="str">
        <f t="shared" si="4"/>
        <v>'32P2',</v>
      </c>
      <c r="C88">
        <f t="shared" si="5"/>
        <v>505</v>
      </c>
      <c r="E88" t="s">
        <v>596</v>
      </c>
      <c r="F88" t="str">
        <f t="shared" si="6"/>
        <v>'10P9',</v>
      </c>
      <c r="G88">
        <f t="shared" si="7"/>
        <v>509</v>
      </c>
    </row>
    <row r="89" spans="1:7">
      <c r="A89" t="s">
        <v>613</v>
      </c>
      <c r="B89" t="str">
        <f t="shared" si="4"/>
        <v>'32P5',</v>
      </c>
      <c r="C89">
        <f t="shared" si="5"/>
        <v>511</v>
      </c>
      <c r="E89" t="s">
        <v>598</v>
      </c>
      <c r="F89" t="str">
        <f t="shared" si="6"/>
        <v>'10V1',</v>
      </c>
      <c r="G89">
        <f t="shared" si="7"/>
        <v>515</v>
      </c>
    </row>
    <row r="90" spans="1:7">
      <c r="A90" t="s">
        <v>615</v>
      </c>
      <c r="B90" t="str">
        <f t="shared" si="4"/>
        <v>'32P9',</v>
      </c>
      <c r="C90">
        <f t="shared" si="5"/>
        <v>517</v>
      </c>
      <c r="E90" t="s">
        <v>600</v>
      </c>
      <c r="F90" t="str">
        <f t="shared" si="6"/>
        <v>'10V8',</v>
      </c>
      <c r="G90">
        <f t="shared" si="7"/>
        <v>521</v>
      </c>
    </row>
    <row r="91" spans="1:7">
      <c r="A91" t="s">
        <v>617</v>
      </c>
      <c r="B91" t="str">
        <f t="shared" si="4"/>
        <v>'32Q1',</v>
      </c>
      <c r="C91">
        <f t="shared" si="5"/>
        <v>523</v>
      </c>
      <c r="E91" t="s">
        <v>602</v>
      </c>
      <c r="F91" t="str">
        <f t="shared" si="6"/>
        <v>'10V2',</v>
      </c>
      <c r="G91">
        <f t="shared" si="7"/>
        <v>527</v>
      </c>
    </row>
    <row r="92" spans="1:7">
      <c r="A92" t="s">
        <v>619</v>
      </c>
      <c r="B92" t="str">
        <f t="shared" si="4"/>
        <v>'32Q8',</v>
      </c>
      <c r="C92">
        <f t="shared" si="5"/>
        <v>529</v>
      </c>
      <c r="E92" t="s">
        <v>604</v>
      </c>
      <c r="F92" t="str">
        <f t="shared" si="6"/>
        <v>'10V9',</v>
      </c>
      <c r="G92">
        <f t="shared" si="7"/>
        <v>533</v>
      </c>
    </row>
    <row r="93" spans="1:7">
      <c r="A93" t="s">
        <v>621</v>
      </c>
      <c r="B93" t="str">
        <f t="shared" si="4"/>
        <v>'32Q2',</v>
      </c>
      <c r="C93">
        <f t="shared" si="5"/>
        <v>535</v>
      </c>
      <c r="E93" t="s">
        <v>787</v>
      </c>
      <c r="F93" t="str">
        <f t="shared" si="6"/>
        <v>'40V',</v>
      </c>
      <c r="G93">
        <f t="shared" si="7"/>
        <v>539</v>
      </c>
    </row>
    <row r="94" spans="1:7">
      <c r="A94" t="s">
        <v>623</v>
      </c>
      <c r="B94" t="str">
        <f t="shared" si="4"/>
        <v>'32Q5',</v>
      </c>
      <c r="C94">
        <f t="shared" si="5"/>
        <v>541</v>
      </c>
      <c r="E94" t="s">
        <v>789</v>
      </c>
      <c r="F94" t="str">
        <f t="shared" si="6"/>
        <v>'40V8',</v>
      </c>
      <c r="G94">
        <f t="shared" si="7"/>
        <v>544</v>
      </c>
    </row>
    <row r="95" spans="1:7">
      <c r="A95" t="s">
        <v>625</v>
      </c>
      <c r="B95" t="str">
        <f t="shared" si="4"/>
        <v>'32Q9',</v>
      </c>
      <c r="C95">
        <f t="shared" si="5"/>
        <v>547</v>
      </c>
      <c r="E95" t="s">
        <v>791</v>
      </c>
      <c r="F95" t="str">
        <f t="shared" si="6"/>
        <v>'40V5',</v>
      </c>
      <c r="G95">
        <f t="shared" si="7"/>
        <v>550</v>
      </c>
    </row>
    <row r="96" spans="1:7">
      <c r="A96" t="s">
        <v>627</v>
      </c>
      <c r="B96" t="str">
        <f t="shared" si="4"/>
        <v>'32V1',</v>
      </c>
      <c r="C96">
        <f t="shared" si="5"/>
        <v>553</v>
      </c>
      <c r="E96" t="s">
        <v>793</v>
      </c>
      <c r="F96" t="str">
        <f t="shared" si="6"/>
        <v>'12Z1',</v>
      </c>
      <c r="G96">
        <f t="shared" si="7"/>
        <v>556</v>
      </c>
    </row>
    <row r="97" spans="1:7">
      <c r="A97" t="s">
        <v>629</v>
      </c>
      <c r="B97" t="str">
        <f t="shared" si="4"/>
        <v>'32V8',</v>
      </c>
      <c r="C97">
        <f t="shared" si="5"/>
        <v>559</v>
      </c>
      <c r="E97" t="s">
        <v>796</v>
      </c>
      <c r="F97" t="str">
        <f t="shared" si="6"/>
        <v>'12Z2',</v>
      </c>
      <c r="G97">
        <f t="shared" si="7"/>
        <v>562</v>
      </c>
    </row>
    <row r="98" spans="1:7">
      <c r="A98" t="s">
        <v>631</v>
      </c>
      <c r="B98" t="str">
        <f t="shared" si="4"/>
        <v>'32V2',</v>
      </c>
      <c r="C98">
        <f t="shared" si="5"/>
        <v>565</v>
      </c>
      <c r="E98" t="s">
        <v>798</v>
      </c>
      <c r="F98" t="str">
        <f t="shared" si="6"/>
        <v>'12U1',</v>
      </c>
      <c r="G98">
        <f t="shared" si="7"/>
        <v>568</v>
      </c>
    </row>
    <row r="99" spans="1:7">
      <c r="A99" t="s">
        <v>633</v>
      </c>
      <c r="B99" t="str">
        <f t="shared" si="4"/>
        <v>'32V9',</v>
      </c>
      <c r="C99">
        <f t="shared" si="5"/>
        <v>571</v>
      </c>
      <c r="E99" t="s">
        <v>800</v>
      </c>
      <c r="F99" t="str">
        <f t="shared" si="6"/>
        <v>'12U2',</v>
      </c>
      <c r="G99">
        <f t="shared" si="7"/>
        <v>574</v>
      </c>
    </row>
    <row r="100" spans="1:7">
      <c r="A100" t="s">
        <v>635</v>
      </c>
      <c r="B100" t="str">
        <f t="shared" si="4"/>
        <v>'22P1',</v>
      </c>
      <c r="C100">
        <f t="shared" si="5"/>
        <v>577</v>
      </c>
      <c r="E100" t="s">
        <v>802</v>
      </c>
      <c r="F100" t="str">
        <f t="shared" si="6"/>
        <v>'12U5',</v>
      </c>
      <c r="G100">
        <f t="shared" si="7"/>
        <v>580</v>
      </c>
    </row>
    <row r="101" spans="1:7">
      <c r="A101" t="s">
        <v>637</v>
      </c>
      <c r="B101" t="str">
        <f t="shared" si="4"/>
        <v>'22P8',</v>
      </c>
      <c r="C101">
        <f t="shared" si="5"/>
        <v>583</v>
      </c>
      <c r="E101" t="s">
        <v>804</v>
      </c>
      <c r="F101" t="str">
        <f t="shared" si="6"/>
        <v>'12U9',</v>
      </c>
      <c r="G101">
        <f t="shared" si="7"/>
        <v>586</v>
      </c>
    </row>
    <row r="102" spans="1:7">
      <c r="A102" t="s">
        <v>639</v>
      </c>
      <c r="B102" t="str">
        <f t="shared" si="4"/>
        <v>'22P2',</v>
      </c>
      <c r="C102">
        <f t="shared" si="5"/>
        <v>589</v>
      </c>
      <c r="E102" t="s">
        <v>806</v>
      </c>
      <c r="F102" t="str">
        <f t="shared" si="6"/>
        <v>'12X',</v>
      </c>
      <c r="G102">
        <f t="shared" si="7"/>
        <v>592</v>
      </c>
    </row>
    <row r="103" spans="1:7">
      <c r="A103" t="s">
        <v>641</v>
      </c>
      <c r="B103" t="str">
        <f t="shared" si="4"/>
        <v>'22P5',</v>
      </c>
      <c r="C103">
        <f t="shared" si="5"/>
        <v>595</v>
      </c>
      <c r="E103" t="s">
        <v>808</v>
      </c>
      <c r="F103" t="str">
        <f t="shared" si="6"/>
        <v>'12X1',</v>
      </c>
      <c r="G103">
        <f t="shared" si="7"/>
        <v>597</v>
      </c>
    </row>
    <row r="104" spans="1:7">
      <c r="A104" t="s">
        <v>643</v>
      </c>
      <c r="B104" t="str">
        <f t="shared" si="4"/>
        <v>'22P9',</v>
      </c>
      <c r="C104">
        <f t="shared" si="5"/>
        <v>601</v>
      </c>
      <c r="E104" t="s">
        <v>810</v>
      </c>
      <c r="F104" t="str">
        <f t="shared" si="6"/>
        <v>'12X8',</v>
      </c>
      <c r="G104">
        <f t="shared" si="7"/>
        <v>603</v>
      </c>
    </row>
    <row r="105" spans="1:7">
      <c r="A105" t="s">
        <v>645</v>
      </c>
      <c r="B105" t="str">
        <f t="shared" si="4"/>
        <v>'22Q1',</v>
      </c>
      <c r="C105">
        <f t="shared" si="5"/>
        <v>607</v>
      </c>
      <c r="E105" t="s">
        <v>812</v>
      </c>
      <c r="F105" t="str">
        <f t="shared" si="6"/>
        <v>'12X2',</v>
      </c>
      <c r="G105">
        <f t="shared" si="7"/>
        <v>609</v>
      </c>
    </row>
    <row r="106" spans="1:7">
      <c r="A106" t="s">
        <v>647</v>
      </c>
      <c r="B106" t="str">
        <f t="shared" si="4"/>
        <v>'22Q8',</v>
      </c>
      <c r="C106">
        <f t="shared" si="5"/>
        <v>613</v>
      </c>
      <c r="E106" t="s">
        <v>814</v>
      </c>
      <c r="F106" t="str">
        <f t="shared" si="6"/>
        <v>'12X5',</v>
      </c>
      <c r="G106">
        <f t="shared" si="7"/>
        <v>615</v>
      </c>
    </row>
    <row r="107" spans="1:7">
      <c r="A107" t="s">
        <v>649</v>
      </c>
      <c r="B107" t="str">
        <f t="shared" si="4"/>
        <v>'22Q2',</v>
      </c>
      <c r="C107">
        <f t="shared" si="5"/>
        <v>619</v>
      </c>
      <c r="E107" t="s">
        <v>816</v>
      </c>
      <c r="F107" t="str">
        <f t="shared" si="6"/>
        <v>'12X9',</v>
      </c>
      <c r="G107">
        <f t="shared" si="7"/>
        <v>621</v>
      </c>
    </row>
    <row r="108" spans="1:7">
      <c r="A108" t="s">
        <v>651</v>
      </c>
      <c r="B108" t="str">
        <f t="shared" si="4"/>
        <v>'22Q5',</v>
      </c>
      <c r="C108">
        <f t="shared" si="5"/>
        <v>625</v>
      </c>
      <c r="E108" t="s">
        <v>896</v>
      </c>
      <c r="F108" t="str">
        <f t="shared" si="6"/>
        <v>'71S',</v>
      </c>
      <c r="G108">
        <f t="shared" si="7"/>
        <v>627</v>
      </c>
    </row>
    <row r="109" spans="1:7">
      <c r="A109" t="s">
        <v>653</v>
      </c>
      <c r="B109" t="str">
        <f t="shared" si="4"/>
        <v>'22Q9',</v>
      </c>
      <c r="C109">
        <f t="shared" si="5"/>
        <v>631</v>
      </c>
      <c r="E109" t="s">
        <v>898</v>
      </c>
      <c r="F109" t="str">
        <f t="shared" si="6"/>
        <v>'10S4',</v>
      </c>
      <c r="G109">
        <f t="shared" si="7"/>
        <v>632</v>
      </c>
    </row>
    <row r="110" spans="1:7">
      <c r="A110" t="s">
        <v>655</v>
      </c>
      <c r="B110" t="str">
        <f t="shared" si="4"/>
        <v>'22V1',</v>
      </c>
      <c r="C110">
        <f t="shared" si="5"/>
        <v>637</v>
      </c>
      <c r="E110" t="s">
        <v>904</v>
      </c>
      <c r="F110" t="str">
        <f t="shared" si="6"/>
        <v>'44L1',</v>
      </c>
      <c r="G110">
        <f t="shared" si="7"/>
        <v>638</v>
      </c>
    </row>
    <row r="111" spans="1:7">
      <c r="A111" t="s">
        <v>657</v>
      </c>
      <c r="B111" t="str">
        <f t="shared" si="4"/>
        <v>'22V8',</v>
      </c>
      <c r="C111">
        <f t="shared" si="5"/>
        <v>643</v>
      </c>
      <c r="E111" t="s">
        <v>907</v>
      </c>
      <c r="F111" t="str">
        <f t="shared" si="6"/>
        <v>'44L2',</v>
      </c>
      <c r="G111">
        <f t="shared" si="7"/>
        <v>644</v>
      </c>
    </row>
    <row r="112" spans="1:7">
      <c r="A112" t="s">
        <v>659</v>
      </c>
      <c r="B112" t="str">
        <f t="shared" si="4"/>
        <v>'22V2',</v>
      </c>
      <c r="C112">
        <f t="shared" si="5"/>
        <v>649</v>
      </c>
      <c r="E112" t="s">
        <v>909</v>
      </c>
      <c r="F112" t="str">
        <f t="shared" si="6"/>
        <v>'44L5',</v>
      </c>
      <c r="G112">
        <f t="shared" si="7"/>
        <v>650</v>
      </c>
    </row>
    <row r="113" spans="1:7">
      <c r="A113" t="s">
        <v>661</v>
      </c>
      <c r="B113" t="str">
        <f t="shared" si="4"/>
        <v>'22V5',</v>
      </c>
      <c r="C113">
        <f t="shared" si="5"/>
        <v>655</v>
      </c>
      <c r="E113" t="s">
        <v>911</v>
      </c>
      <c r="F113" t="str">
        <f t="shared" si="6"/>
        <v>'44P1',</v>
      </c>
      <c r="G113">
        <f t="shared" si="7"/>
        <v>656</v>
      </c>
    </row>
    <row r="114" spans="1:7">
      <c r="A114" t="s">
        <v>663</v>
      </c>
      <c r="B114" t="str">
        <f t="shared" si="4"/>
        <v>'22V9',</v>
      </c>
      <c r="C114">
        <f t="shared" si="5"/>
        <v>661</v>
      </c>
      <c r="E114" t="s">
        <v>914</v>
      </c>
      <c r="F114" t="str">
        <f t="shared" si="6"/>
        <v>'44P8',</v>
      </c>
      <c r="G114">
        <f t="shared" si="7"/>
        <v>662</v>
      </c>
    </row>
    <row r="115" spans="1:7">
      <c r="A115" t="s">
        <v>667</v>
      </c>
      <c r="B115" t="str">
        <f t="shared" si="4"/>
        <v>'39C1',</v>
      </c>
      <c r="C115">
        <f t="shared" si="5"/>
        <v>667</v>
      </c>
      <c r="E115" t="s">
        <v>916</v>
      </c>
      <c r="F115" t="str">
        <f t="shared" si="6"/>
        <v>'44P2',</v>
      </c>
      <c r="G115">
        <f t="shared" si="7"/>
        <v>668</v>
      </c>
    </row>
    <row r="116" spans="1:7">
      <c r="A116" t="s">
        <v>670</v>
      </c>
      <c r="B116" t="str">
        <f t="shared" si="4"/>
        <v>'39C8',</v>
      </c>
      <c r="C116">
        <f t="shared" si="5"/>
        <v>673</v>
      </c>
      <c r="E116" t="s">
        <v>918</v>
      </c>
      <c r="F116" t="str">
        <f t="shared" si="6"/>
        <v>'44P5',</v>
      </c>
      <c r="G116">
        <f t="shared" si="7"/>
        <v>674</v>
      </c>
    </row>
    <row r="117" spans="1:7">
      <c r="A117" t="s">
        <v>672</v>
      </c>
      <c r="B117" t="str">
        <f t="shared" si="4"/>
        <v>'39C2',</v>
      </c>
      <c r="C117">
        <f t="shared" si="5"/>
        <v>679</v>
      </c>
      <c r="E117" t="s">
        <v>920</v>
      </c>
      <c r="F117" t="str">
        <f t="shared" si="6"/>
        <v>'44P9',</v>
      </c>
      <c r="G117">
        <f t="shared" si="7"/>
        <v>680</v>
      </c>
    </row>
    <row r="118" spans="1:7">
      <c r="A118" t="s">
        <v>674</v>
      </c>
      <c r="B118" t="str">
        <f t="shared" si="4"/>
        <v>'39C5',</v>
      </c>
      <c r="C118">
        <f t="shared" si="5"/>
        <v>685</v>
      </c>
      <c r="E118" t="s">
        <v>922</v>
      </c>
      <c r="F118" t="str">
        <f t="shared" si="6"/>
        <v>'44S1',</v>
      </c>
      <c r="G118">
        <f t="shared" si="7"/>
        <v>686</v>
      </c>
    </row>
    <row r="119" spans="1:7">
      <c r="A119" t="s">
        <v>676</v>
      </c>
      <c r="B119" t="str">
        <f t="shared" si="4"/>
        <v>'39C9',</v>
      </c>
      <c r="C119">
        <f t="shared" si="5"/>
        <v>691</v>
      </c>
      <c r="E119" t="s">
        <v>925</v>
      </c>
      <c r="F119" t="str">
        <f t="shared" si="6"/>
        <v>'44S2',</v>
      </c>
      <c r="G119">
        <f t="shared" si="7"/>
        <v>692</v>
      </c>
    </row>
    <row r="120" spans="1:7">
      <c r="A120" t="s">
        <v>678</v>
      </c>
      <c r="B120" t="str">
        <f t="shared" si="4"/>
        <v>'39P6',</v>
      </c>
      <c r="C120">
        <f t="shared" si="5"/>
        <v>697</v>
      </c>
      <c r="E120" t="s">
        <v>927</v>
      </c>
      <c r="F120" t="str">
        <f t="shared" si="6"/>
        <v>'44S9',</v>
      </c>
      <c r="G120">
        <f t="shared" si="7"/>
        <v>698</v>
      </c>
    </row>
    <row r="121" spans="1:7">
      <c r="A121" t="s">
        <v>680</v>
      </c>
      <c r="B121" t="str">
        <f t="shared" si="4"/>
        <v>'39G8',</v>
      </c>
      <c r="C121">
        <f t="shared" si="5"/>
        <v>703</v>
      </c>
    </row>
    <row r="122" spans="1:7">
      <c r="A122" t="s">
        <v>682</v>
      </c>
      <c r="B122" t="str">
        <f t="shared" si="4"/>
        <v>'39G9',</v>
      </c>
      <c r="C122">
        <f t="shared" si="5"/>
        <v>709</v>
      </c>
    </row>
    <row r="123" spans="1:7">
      <c r="A123" t="s">
        <v>684</v>
      </c>
      <c r="B123" t="str">
        <f t="shared" si="4"/>
        <v>'39G',</v>
      </c>
      <c r="C123">
        <f t="shared" si="5"/>
        <v>703</v>
      </c>
    </row>
    <row r="124" spans="1:7">
      <c r="A124" t="s">
        <v>686</v>
      </c>
      <c r="B124" t="str">
        <f t="shared" si="4"/>
        <v>'39H1',</v>
      </c>
      <c r="C124">
        <f t="shared" si="5"/>
        <v>720</v>
      </c>
    </row>
    <row r="125" spans="1:7">
      <c r="A125" t="s">
        <v>688</v>
      </c>
      <c r="B125" t="str">
        <f t="shared" si="4"/>
        <v>'39H8',</v>
      </c>
      <c r="C125">
        <f t="shared" si="5"/>
        <v>726</v>
      </c>
    </row>
    <row r="126" spans="1:7">
      <c r="A126" t="s">
        <v>690</v>
      </c>
      <c r="B126" t="str">
        <f t="shared" si="4"/>
        <v>'39H2',</v>
      </c>
      <c r="C126">
        <f t="shared" si="5"/>
        <v>732</v>
      </c>
    </row>
    <row r="127" spans="1:7">
      <c r="A127" t="s">
        <v>692</v>
      </c>
      <c r="B127" t="str">
        <f t="shared" si="4"/>
        <v>'39H5',</v>
      </c>
      <c r="C127">
        <f t="shared" si="5"/>
        <v>738</v>
      </c>
    </row>
    <row r="128" spans="1:7">
      <c r="A128" t="s">
        <v>694</v>
      </c>
      <c r="B128" t="str">
        <f t="shared" si="4"/>
        <v>'39H9',</v>
      </c>
      <c r="C128">
        <f t="shared" si="5"/>
        <v>744</v>
      </c>
    </row>
    <row r="129" spans="1:3">
      <c r="A129" t="s">
        <v>696</v>
      </c>
      <c r="B129" t="str">
        <f t="shared" si="4"/>
        <v>'39Q1',</v>
      </c>
      <c r="C129">
        <f t="shared" si="5"/>
        <v>750</v>
      </c>
    </row>
    <row r="130" spans="1:3">
      <c r="A130" t="s">
        <v>698</v>
      </c>
      <c r="B130" t="str">
        <f t="shared" si="4"/>
        <v>'39Q8',</v>
      </c>
      <c r="C130">
        <f t="shared" si="5"/>
        <v>756</v>
      </c>
    </row>
    <row r="131" spans="1:3">
      <c r="A131" t="s">
        <v>700</v>
      </c>
      <c r="B131" t="str">
        <f t="shared" si="4"/>
        <v>'39Q2',</v>
      </c>
      <c r="C131">
        <f t="shared" si="5"/>
        <v>762</v>
      </c>
    </row>
    <row r="132" spans="1:3">
      <c r="A132" t="s">
        <v>702</v>
      </c>
      <c r="B132" t="str">
        <f t="shared" ref="B132:B184" si="8" xml:space="preserve"> "'" &amp; A132 &amp; "',"</f>
        <v>'39Q5',</v>
      </c>
      <c r="C132">
        <f t="shared" ref="C132:C184" si="9">SEARCH(A132,$B$2)</f>
        <v>768</v>
      </c>
    </row>
    <row r="133" spans="1:3">
      <c r="A133" t="s">
        <v>704</v>
      </c>
      <c r="B133" t="str">
        <f t="shared" si="8"/>
        <v>'39Q9',</v>
      </c>
      <c r="C133">
        <f t="shared" si="9"/>
        <v>774</v>
      </c>
    </row>
    <row r="134" spans="1:3">
      <c r="A134" t="s">
        <v>706</v>
      </c>
      <c r="B134" t="str">
        <f t="shared" si="8"/>
        <v>'39P',</v>
      </c>
      <c r="C134">
        <f t="shared" si="9"/>
        <v>697</v>
      </c>
    </row>
    <row r="135" spans="1:3">
      <c r="A135" t="s">
        <v>708</v>
      </c>
      <c r="B135" t="str">
        <f t="shared" si="8"/>
        <v>'39T1',</v>
      </c>
      <c r="C135">
        <f t="shared" si="9"/>
        <v>785</v>
      </c>
    </row>
    <row r="136" spans="1:3">
      <c r="A136" t="s">
        <v>710</v>
      </c>
      <c r="B136" t="str">
        <f t="shared" si="8"/>
        <v>'39T8',</v>
      </c>
      <c r="C136">
        <f t="shared" si="9"/>
        <v>791</v>
      </c>
    </row>
    <row r="137" spans="1:3">
      <c r="A137" t="s">
        <v>712</v>
      </c>
      <c r="B137" t="str">
        <f t="shared" si="8"/>
        <v>'39T2',</v>
      </c>
      <c r="C137">
        <f t="shared" si="9"/>
        <v>797</v>
      </c>
    </row>
    <row r="138" spans="1:3">
      <c r="A138" t="s">
        <v>714</v>
      </c>
      <c r="B138" t="str">
        <f t="shared" si="8"/>
        <v>'39T5',</v>
      </c>
      <c r="C138">
        <f t="shared" si="9"/>
        <v>803</v>
      </c>
    </row>
    <row r="139" spans="1:3">
      <c r="A139" t="s">
        <v>716</v>
      </c>
      <c r="B139" t="str">
        <f t="shared" si="8"/>
        <v>'39T9',</v>
      </c>
      <c r="C139">
        <f t="shared" si="9"/>
        <v>809</v>
      </c>
    </row>
    <row r="140" spans="1:3">
      <c r="A140" t="s">
        <v>718</v>
      </c>
      <c r="B140" t="str">
        <f t="shared" si="8"/>
        <v>'39V6',</v>
      </c>
      <c r="C140">
        <f t="shared" si="9"/>
        <v>815</v>
      </c>
    </row>
    <row r="141" spans="1:3">
      <c r="A141" t="s">
        <v>720</v>
      </c>
      <c r="B141" t="str">
        <f t="shared" si="8"/>
        <v>'39V1',</v>
      </c>
      <c r="C141">
        <f t="shared" si="9"/>
        <v>821</v>
      </c>
    </row>
    <row r="142" spans="1:3">
      <c r="A142" t="s">
        <v>722</v>
      </c>
      <c r="B142" t="str">
        <f t="shared" si="8"/>
        <v>'39V8',</v>
      </c>
      <c r="C142">
        <f t="shared" si="9"/>
        <v>827</v>
      </c>
    </row>
    <row r="143" spans="1:3">
      <c r="A143" t="s">
        <v>724</v>
      </c>
      <c r="B143" t="str">
        <f t="shared" si="8"/>
        <v>'39V2',</v>
      </c>
      <c r="C143">
        <f t="shared" si="9"/>
        <v>833</v>
      </c>
    </row>
    <row r="144" spans="1:3">
      <c r="A144" t="s">
        <v>726</v>
      </c>
      <c r="B144" t="str">
        <f t="shared" si="8"/>
        <v>'39V5',</v>
      </c>
      <c r="C144">
        <f t="shared" si="9"/>
        <v>839</v>
      </c>
    </row>
    <row r="145" spans="1:3">
      <c r="A145" t="s">
        <v>728</v>
      </c>
      <c r="B145" t="str">
        <f t="shared" si="8"/>
        <v>'39V9',</v>
      </c>
      <c r="C145">
        <f t="shared" si="9"/>
        <v>845</v>
      </c>
    </row>
    <row r="146" spans="1:3">
      <c r="A146" t="s">
        <v>730</v>
      </c>
      <c r="B146" t="str">
        <f t="shared" si="8"/>
        <v>'29C8',</v>
      </c>
      <c r="C146">
        <f t="shared" si="9"/>
        <v>851</v>
      </c>
    </row>
    <row r="147" spans="1:3">
      <c r="A147" t="s">
        <v>732</v>
      </c>
      <c r="B147" t="str">
        <f t="shared" si="8"/>
        <v>'29C9',</v>
      </c>
      <c r="C147">
        <f t="shared" si="9"/>
        <v>857</v>
      </c>
    </row>
    <row r="148" spans="1:3">
      <c r="A148" t="s">
        <v>734</v>
      </c>
      <c r="B148" t="str">
        <f t="shared" si="8"/>
        <v>'29C',</v>
      </c>
      <c r="C148">
        <f t="shared" si="9"/>
        <v>851</v>
      </c>
    </row>
    <row r="149" spans="1:3">
      <c r="A149" t="s">
        <v>736</v>
      </c>
      <c r="B149" t="str">
        <f t="shared" si="8"/>
        <v>'29B9',</v>
      </c>
      <c r="C149">
        <f t="shared" si="9"/>
        <v>868</v>
      </c>
    </row>
    <row r="150" spans="1:3">
      <c r="A150" t="s">
        <v>738</v>
      </c>
      <c r="B150" t="str">
        <f t="shared" si="8"/>
        <v>'29H1',</v>
      </c>
      <c r="C150">
        <f t="shared" si="9"/>
        <v>874</v>
      </c>
    </row>
    <row r="151" spans="1:3">
      <c r="A151" t="s">
        <v>740</v>
      </c>
      <c r="B151" t="str">
        <f t="shared" si="8"/>
        <v>'29H8',</v>
      </c>
      <c r="C151">
        <f t="shared" si="9"/>
        <v>880</v>
      </c>
    </row>
    <row r="152" spans="1:3">
      <c r="A152" t="s">
        <v>742</v>
      </c>
      <c r="B152" t="str">
        <f t="shared" si="8"/>
        <v>'29H2',</v>
      </c>
      <c r="C152">
        <f t="shared" si="9"/>
        <v>886</v>
      </c>
    </row>
    <row r="153" spans="1:3">
      <c r="A153" t="s">
        <v>744</v>
      </c>
      <c r="B153" t="str">
        <f t="shared" si="8"/>
        <v>'29H5',</v>
      </c>
      <c r="C153">
        <f t="shared" si="9"/>
        <v>892</v>
      </c>
    </row>
    <row r="154" spans="1:3">
      <c r="A154" t="s">
        <v>746</v>
      </c>
      <c r="B154" t="str">
        <f t="shared" si="8"/>
        <v>'29H9',</v>
      </c>
      <c r="C154">
        <f t="shared" si="9"/>
        <v>898</v>
      </c>
    </row>
    <row r="155" spans="1:3">
      <c r="A155" t="s">
        <v>748</v>
      </c>
      <c r="B155" t="str">
        <f t="shared" si="8"/>
        <v>'29Q1',</v>
      </c>
      <c r="C155">
        <f t="shared" si="9"/>
        <v>904</v>
      </c>
    </row>
    <row r="156" spans="1:3">
      <c r="A156" t="s">
        <v>750</v>
      </c>
      <c r="B156" t="str">
        <f t="shared" si="8"/>
        <v>'29Q8',</v>
      </c>
      <c r="C156">
        <f t="shared" si="9"/>
        <v>910</v>
      </c>
    </row>
    <row r="157" spans="1:3">
      <c r="A157" t="s">
        <v>752</v>
      </c>
      <c r="B157" t="str">
        <f t="shared" si="8"/>
        <v>'29Q2',</v>
      </c>
      <c r="C157">
        <f t="shared" si="9"/>
        <v>916</v>
      </c>
    </row>
    <row r="158" spans="1:3">
      <c r="A158" t="s">
        <v>754</v>
      </c>
      <c r="B158" t="str">
        <f t="shared" si="8"/>
        <v>'29Q5',</v>
      </c>
      <c r="C158">
        <f t="shared" si="9"/>
        <v>922</v>
      </c>
    </row>
    <row r="159" spans="1:3">
      <c r="A159" t="s">
        <v>756</v>
      </c>
      <c r="B159" t="str">
        <f t="shared" si="8"/>
        <v>'29Q9',</v>
      </c>
      <c r="C159">
        <f t="shared" si="9"/>
        <v>928</v>
      </c>
    </row>
    <row r="160" spans="1:3">
      <c r="A160" t="s">
        <v>758</v>
      </c>
      <c r="B160" t="str">
        <f t="shared" si="8"/>
        <v>'29T1',</v>
      </c>
      <c r="C160">
        <f t="shared" si="9"/>
        <v>934</v>
      </c>
    </row>
    <row r="161" spans="1:3">
      <c r="A161" t="s">
        <v>760</v>
      </c>
      <c r="B161" t="str">
        <f t="shared" si="8"/>
        <v>'29T2',</v>
      </c>
      <c r="C161">
        <f t="shared" si="9"/>
        <v>940</v>
      </c>
    </row>
    <row r="162" spans="1:3">
      <c r="A162" t="s">
        <v>762</v>
      </c>
      <c r="B162" t="str">
        <f t="shared" si="8"/>
        <v>'29T5',</v>
      </c>
      <c r="C162">
        <f t="shared" si="9"/>
        <v>946</v>
      </c>
    </row>
    <row r="163" spans="1:3">
      <c r="A163" t="s">
        <v>764</v>
      </c>
      <c r="B163" t="str">
        <f t="shared" si="8"/>
        <v>'29T9',</v>
      </c>
      <c r="C163">
        <f t="shared" si="9"/>
        <v>952</v>
      </c>
    </row>
    <row r="164" spans="1:3">
      <c r="A164" t="s">
        <v>780</v>
      </c>
      <c r="B164" t="str">
        <f t="shared" si="8"/>
        <v>'69M1',</v>
      </c>
      <c r="C164">
        <f t="shared" si="9"/>
        <v>958</v>
      </c>
    </row>
    <row r="165" spans="1:3">
      <c r="A165" t="s">
        <v>783</v>
      </c>
      <c r="B165" t="str">
        <f t="shared" si="8"/>
        <v>'69M2',</v>
      </c>
      <c r="C165">
        <f t="shared" si="9"/>
        <v>964</v>
      </c>
    </row>
    <row r="166" spans="1:3">
      <c r="A166" t="s">
        <v>785</v>
      </c>
      <c r="B166" t="str">
        <f t="shared" si="8"/>
        <v>'69M9',</v>
      </c>
      <c r="C166">
        <f t="shared" si="9"/>
        <v>970</v>
      </c>
    </row>
    <row r="167" spans="1:3">
      <c r="A167" t="s">
        <v>818</v>
      </c>
      <c r="B167" t="str">
        <f t="shared" si="8"/>
        <v>'30B',</v>
      </c>
      <c r="C167">
        <f t="shared" si="9"/>
        <v>976</v>
      </c>
    </row>
    <row r="168" spans="1:3">
      <c r="A168" t="s">
        <v>821</v>
      </c>
      <c r="B168" t="str">
        <f t="shared" si="8"/>
        <v>'30C',</v>
      </c>
      <c r="C168">
        <f t="shared" si="9"/>
        <v>981</v>
      </c>
    </row>
    <row r="169" spans="1:3">
      <c r="A169" t="s">
        <v>823</v>
      </c>
      <c r="B169" t="str">
        <f t="shared" si="8"/>
        <v>'30C8',</v>
      </c>
      <c r="C169">
        <f t="shared" si="9"/>
        <v>986</v>
      </c>
    </row>
    <row r="170" spans="1:3">
      <c r="A170" t="s">
        <v>825</v>
      </c>
      <c r="B170" t="str">
        <f t="shared" si="8"/>
        <v>'30C9',</v>
      </c>
      <c r="C170">
        <f t="shared" si="9"/>
        <v>992</v>
      </c>
    </row>
    <row r="171" spans="1:3">
      <c r="A171" t="s">
        <v>827</v>
      </c>
      <c r="B171" t="str">
        <f t="shared" si="8"/>
        <v>'30Q1',</v>
      </c>
      <c r="C171">
        <f t="shared" si="9"/>
        <v>998</v>
      </c>
    </row>
    <row r="172" spans="1:3">
      <c r="A172" t="s">
        <v>829</v>
      </c>
      <c r="B172" t="str">
        <f t="shared" si="8"/>
        <v>'30Q8',</v>
      </c>
      <c r="C172">
        <f t="shared" si="9"/>
        <v>1004</v>
      </c>
    </row>
    <row r="173" spans="1:3">
      <c r="A173" t="s">
        <v>831</v>
      </c>
      <c r="B173" t="str">
        <f t="shared" si="8"/>
        <v>'30Q2',</v>
      </c>
      <c r="C173">
        <f t="shared" si="9"/>
        <v>1010</v>
      </c>
    </row>
    <row r="174" spans="1:3">
      <c r="A174" t="s">
        <v>833</v>
      </c>
      <c r="B174" t="str">
        <f t="shared" si="8"/>
        <v>'30Q5',</v>
      </c>
      <c r="C174">
        <f t="shared" si="9"/>
        <v>1016</v>
      </c>
    </row>
    <row r="175" spans="1:3">
      <c r="A175" t="s">
        <v>835</v>
      </c>
      <c r="B175" t="str">
        <f t="shared" si="8"/>
        <v>'30Q9',</v>
      </c>
      <c r="C175">
        <f t="shared" si="9"/>
        <v>1022</v>
      </c>
    </row>
    <row r="176" spans="1:3">
      <c r="A176" t="s">
        <v>837</v>
      </c>
      <c r="B176" t="str">
        <f t="shared" si="8"/>
        <v>'30R',</v>
      </c>
      <c r="C176">
        <f t="shared" si="9"/>
        <v>1028</v>
      </c>
    </row>
    <row r="177" spans="1:3">
      <c r="A177" t="s">
        <v>839</v>
      </c>
      <c r="B177" t="str">
        <f t="shared" si="8"/>
        <v>'20B',</v>
      </c>
      <c r="C177">
        <f t="shared" si="9"/>
        <v>1033</v>
      </c>
    </row>
    <row r="178" spans="1:3">
      <c r="A178" t="s">
        <v>841</v>
      </c>
      <c r="B178" t="str">
        <f t="shared" si="8"/>
        <v>'20C',</v>
      </c>
      <c r="C178">
        <f t="shared" si="9"/>
        <v>1038</v>
      </c>
    </row>
    <row r="179" spans="1:3">
      <c r="A179" t="s">
        <v>843</v>
      </c>
      <c r="B179" t="str">
        <f t="shared" si="8"/>
        <v>'20Q1',</v>
      </c>
      <c r="C179">
        <f t="shared" si="9"/>
        <v>1043</v>
      </c>
    </row>
    <row r="180" spans="1:3">
      <c r="A180" t="s">
        <v>845</v>
      </c>
      <c r="B180" t="str">
        <f t="shared" si="8"/>
        <v>'20Q8',</v>
      </c>
      <c r="C180">
        <f t="shared" si="9"/>
        <v>1049</v>
      </c>
    </row>
    <row r="181" spans="1:3">
      <c r="A181" t="s">
        <v>847</v>
      </c>
      <c r="B181" t="str">
        <f t="shared" si="8"/>
        <v>'20Q2',</v>
      </c>
      <c r="C181">
        <f t="shared" si="9"/>
        <v>1055</v>
      </c>
    </row>
    <row r="182" spans="1:3">
      <c r="A182" t="s">
        <v>849</v>
      </c>
      <c r="B182" t="str">
        <f t="shared" si="8"/>
        <v>'20Q5',</v>
      </c>
      <c r="C182">
        <f t="shared" si="9"/>
        <v>1061</v>
      </c>
    </row>
    <row r="183" spans="1:3">
      <c r="A183" t="s">
        <v>851</v>
      </c>
      <c r="B183" t="str">
        <f t="shared" si="8"/>
        <v>'20Q9',</v>
      </c>
      <c r="C183">
        <f t="shared" si="9"/>
        <v>1067</v>
      </c>
    </row>
    <row r="184" spans="1:3">
      <c r="A184" t="s">
        <v>853</v>
      </c>
      <c r="B184" t="str">
        <f t="shared" si="8"/>
        <v>'20R',</v>
      </c>
      <c r="C184">
        <f t="shared" si="9"/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laxma</dc:creator>
  <cp:keywords/>
  <dc:description/>
  <cp:lastModifiedBy>laxman.sr.iitkgp@gmail.com</cp:lastModifiedBy>
  <cp:revision/>
  <dcterms:created xsi:type="dcterms:W3CDTF">2025-10-30T03:38:14Z</dcterms:created>
  <dcterms:modified xsi:type="dcterms:W3CDTF">2025-12-01T23:48:52Z</dcterms:modified>
  <cp:category/>
  <cp:contentStatus/>
</cp:coreProperties>
</file>